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tables/table1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betelhemtadesse/Desktop/"/>
    </mc:Choice>
  </mc:AlternateContent>
  <xr:revisionPtr revIDLastSave="0" documentId="8_{4C9A1FBE-5C36-EA45-9A08-BA55F74E7BF5}" xr6:coauthVersionLast="47" xr6:coauthVersionMax="47" xr10:uidLastSave="{00000000-0000-0000-0000-000000000000}"/>
  <bookViews>
    <workbookView xWindow="0" yWindow="0" windowWidth="28800" windowHeight="18000" firstSheet="5" activeTab="5" xr2:uid="{00000000-000D-0000-FFFF-FFFF00000000}"/>
  </bookViews>
  <sheets>
    <sheet name="Q1_Employment_Percent" sheetId="3" r:id="rId1"/>
    <sheet name="Q1_Income_Distribution" sheetId="4" r:id="rId2"/>
    <sheet name="Q1_Crosstab_Counts" sheetId="7" r:id="rId3"/>
    <sheet name="Q1_Crosstab_columnPercent" sheetId="10" r:id="rId4"/>
    <sheet name="Q1_Crosstab_RowPercent" sheetId="8" r:id="rId5"/>
    <sheet name="Raw Data" sheetId="1" r:id="rId6"/>
    <sheet name="Q1_Employment_Frequency" sheetId="2" r:id="rId7"/>
    <sheet name="Q3_Numerical_Measures" sheetId="12" r:id="rId8"/>
  </sheets>
  <calcPr calcId="191029"/>
  <pivotCaches>
    <pivotCache cacheId="13" r:id="rId9"/>
    <pivotCache cacheId="14" r:id="rId10"/>
    <pivotCache cacheId="15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" i="12" l="1"/>
  <c r="B25" i="12"/>
  <c r="B13" i="12"/>
  <c r="B14" i="12"/>
  <c r="B15" i="12"/>
  <c r="B16" i="12"/>
  <c r="B18" i="12"/>
  <c r="B19" i="12"/>
  <c r="B20" i="12" s="1"/>
  <c r="B3" i="12"/>
  <c r="B4" i="12"/>
  <c r="B5" i="12"/>
  <c r="B6" i="12"/>
  <c r="D6" i="1"/>
  <c r="D3" i="1"/>
  <c r="D4" i="1"/>
  <c r="D5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2" i="1"/>
  <c r="D5" i="4"/>
  <c r="D6" i="4"/>
  <c r="D7" i="4"/>
  <c r="D8" i="4"/>
  <c r="D4" i="4"/>
  <c r="B3" i="2"/>
  <c r="B2" i="2"/>
  <c r="C8" i="4"/>
  <c r="C7" i="4"/>
  <c r="C6" i="4"/>
  <c r="C5" i="4"/>
  <c r="C4" i="4"/>
  <c r="B17" i="12" l="1"/>
</calcChain>
</file>

<file path=xl/sharedStrings.xml><?xml version="1.0" encoding="utf-8"?>
<sst xmlns="http://schemas.openxmlformats.org/spreadsheetml/2006/main" count="285" uniqueCount="42">
  <si>
    <t>cpsid</t>
  </si>
  <si>
    <t>Non-College</t>
  </si>
  <si>
    <t>College</t>
  </si>
  <si>
    <t>Employed</t>
  </si>
  <si>
    <t>Unemployed</t>
  </si>
  <si>
    <t>Education Level</t>
  </si>
  <si>
    <t>Employment Status</t>
  </si>
  <si>
    <t>Annual Labor Income</t>
  </si>
  <si>
    <t>Weekly Hours Worked</t>
  </si>
  <si>
    <t>Frequency</t>
  </si>
  <si>
    <t>Row Labels</t>
  </si>
  <si>
    <t>Grand Total</t>
  </si>
  <si>
    <t>Count of Employment Status</t>
  </si>
  <si>
    <t>0-59999</t>
  </si>
  <si>
    <t>120000-179999</t>
  </si>
  <si>
    <t>180000-239999</t>
  </si>
  <si>
    <t>300000-359999</t>
  </si>
  <si>
    <t>60000-119999</t>
  </si>
  <si>
    <t>Count of Income Class</t>
  </si>
  <si>
    <t>Income class</t>
  </si>
  <si>
    <t>Column Labels</t>
  </si>
  <si>
    <t>Count of Income class</t>
  </si>
  <si>
    <t>Mean</t>
  </si>
  <si>
    <t>Median</t>
  </si>
  <si>
    <t>Q1</t>
  </si>
  <si>
    <t>Q3</t>
  </si>
  <si>
    <t>Measure</t>
  </si>
  <si>
    <t>Value</t>
  </si>
  <si>
    <t xml:space="preserve">Cnumercal Measure </t>
  </si>
  <si>
    <t>Annual Labor income      -</t>
  </si>
  <si>
    <t>Range</t>
  </si>
  <si>
    <t>IQR</t>
  </si>
  <si>
    <t>Variance</t>
  </si>
  <si>
    <t>Standard Deviation</t>
  </si>
  <si>
    <t>Coefficient of Variation</t>
  </si>
  <si>
    <t xml:space="preserve">Numerical Measures </t>
  </si>
  <si>
    <r>
      <rPr>
        <sz val="11"/>
        <color theme="1"/>
        <rFont val="Calibri"/>
        <family val="2"/>
      </rPr>
      <t xml:space="preserve">Weekly Hours Worked                                - </t>
    </r>
    <r>
      <rPr>
        <sz val="11"/>
        <rFont val="Calibri"/>
        <family val="2"/>
      </rPr>
      <t xml:space="preserve"> </t>
    </r>
  </si>
  <si>
    <t>cv=standard Deviation/Mean</t>
  </si>
  <si>
    <t xml:space="preserve">Correlation </t>
  </si>
  <si>
    <t>Relationship Between Hours &amp; income</t>
  </si>
  <si>
    <t xml:space="preserve">Value </t>
  </si>
  <si>
    <t>Covariance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</si>
</sst>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name val="Calibri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17">
    <xf numFmtId="0" fontId="0" fillId="0" borderId="0" xfId="0"/>
    <xf numFmtId="1" fontId="0" fillId="0" borderId="1" xfId="0" applyNumberFormat="1" applyBorder="1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 applyAlignment="1">
      <alignment horizontal="left"/>
    </xf>
    <xf numFmtId="9" fontId="0" fillId="0" borderId="0" xfId="0" applyNumberFormat="1"/>
    <xf numFmtId="9" fontId="0" fillId="0" borderId="0" xfId="1" applyFont="1"/>
    <xf numFmtId="10" fontId="0" fillId="0" borderId="0" xfId="0" applyNumberFormat="1"/>
    <xf numFmtId="0" fontId="1" fillId="3" borderId="0" xfId="0" applyFont="1" applyFill="1"/>
    <xf numFmtId="0" fontId="4" fillId="3" borderId="0" xfId="0" applyFont="1" applyFill="1"/>
    <xf numFmtId="0" fontId="4" fillId="4" borderId="2" xfId="0" applyFont="1" applyFill="1" applyBorder="1"/>
    <xf numFmtId="0" fontId="4" fillId="0" borderId="2" xfId="0" applyFont="1" applyBorder="1"/>
    <xf numFmtId="0" fontId="4" fillId="2" borderId="2" xfId="0" applyFont="1" applyFill="1" applyBorder="1"/>
    <xf numFmtId="0" fontId="5" fillId="3" borderId="1" xfId="0" applyFont="1" applyFill="1" applyBorder="1"/>
    <xf numFmtId="43" fontId="4" fillId="0" borderId="2" xfId="2" applyFont="1" applyBorder="1"/>
    <xf numFmtId="43" fontId="4" fillId="2" borderId="2" xfId="2" applyFont="1" applyFill="1" applyBorder="1"/>
  </cellXfs>
  <cellStyles count="3">
    <cellStyle name="Comma" xfId="2" builtinId="3"/>
    <cellStyle name="Normal" xfId="0" builtinId="0"/>
    <cellStyle name="Percent" xfId="1" builtinId="5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00"/>
        </patternFill>
      </fill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" formatCode="0"/>
    </dxf>
    <dxf>
      <numFmt numFmtId="1" formatCode="0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[Supply_chain_optimization.xlsx]Q1_Employment_Percent!PivotTable1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Employment</a:t>
            </a:r>
            <a:r>
              <a:rPr lang="en-US" baseline="0"/>
              <a:t> Status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Q1_Employment_Percent!$B$3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3CE-054F-B947-0DB9231841F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3CE-054F-B947-0DB9231841F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Q1_Employment_Percent!$A$4:$A$6</c:f>
              <c:strCache>
                <c:ptCount val="2"/>
                <c:pt idx="0">
                  <c:v>Employed</c:v>
                </c:pt>
                <c:pt idx="1">
                  <c:v>Unemployed</c:v>
                </c:pt>
              </c:strCache>
            </c:strRef>
          </c:cat>
          <c:val>
            <c:numRef>
              <c:f>Q1_Employment_Percent!$B$4:$B$6</c:f>
              <c:numCache>
                <c:formatCode>0%</c:formatCode>
                <c:ptCount val="2"/>
                <c:pt idx="0">
                  <c:v>0.96</c:v>
                </c:pt>
                <c:pt idx="1">
                  <c:v>0.04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B6-FB48-99F0-F0C2EEC749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[Supply_chain_optimization.xlsx]Q1_Income_Distribution!PivotTable2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</a:t>
            </a:r>
            <a:r>
              <a:rPr lang="en-US" baseline="0"/>
              <a:t> Frequency distribution of Annual Labor Income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Q1_Income_Distribution!$B$3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Q1_Income_Distribution!$A$4:$A$9</c:f>
              <c:strCache>
                <c:ptCount val="5"/>
                <c:pt idx="0">
                  <c:v>0-59999</c:v>
                </c:pt>
                <c:pt idx="1">
                  <c:v>60000-119999</c:v>
                </c:pt>
                <c:pt idx="2">
                  <c:v>120000-179999</c:v>
                </c:pt>
                <c:pt idx="3">
                  <c:v>180000-239999</c:v>
                </c:pt>
                <c:pt idx="4">
                  <c:v>300000-359999</c:v>
                </c:pt>
              </c:strCache>
            </c:strRef>
          </c:cat>
          <c:val>
            <c:numRef>
              <c:f>Q1_Income_Distribution!$B$4:$B$9</c:f>
              <c:numCache>
                <c:formatCode>General</c:formatCode>
                <c:ptCount val="5"/>
                <c:pt idx="0">
                  <c:v>64</c:v>
                </c:pt>
                <c:pt idx="1">
                  <c:v>23</c:v>
                </c:pt>
                <c:pt idx="2">
                  <c:v>8</c:v>
                </c:pt>
                <c:pt idx="3">
                  <c:v>4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E0-7546-8088-E31E99B61F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194992255"/>
        <c:axId val="195428799"/>
      </c:barChart>
      <c:catAx>
        <c:axId val="194992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428799"/>
        <c:crosses val="autoZero"/>
        <c:auto val="1"/>
        <c:lblAlgn val="ctr"/>
        <c:lblOffset val="100"/>
        <c:noMultiLvlLbl val="0"/>
      </c:catAx>
      <c:valAx>
        <c:axId val="195428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992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[Supply_chain_optimization.xlsx]Q1_Crosstab_Counts!PivotTable11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7580927384076973E-2"/>
          <c:y val="0.20440268420055741"/>
          <c:w val="0.67835914260717411"/>
          <c:h val="0.7197886733230509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Q1_Crosstab_Counts!$B$3:$B$4</c:f>
              <c:strCache>
                <c:ptCount val="1"/>
                <c:pt idx="0">
                  <c:v>0-59999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Q1_Crosstab_Counts!$A$5:$A$7</c:f>
              <c:strCache>
                <c:ptCount val="2"/>
                <c:pt idx="0">
                  <c:v>College</c:v>
                </c:pt>
                <c:pt idx="1">
                  <c:v>Non-College</c:v>
                </c:pt>
              </c:strCache>
            </c:strRef>
          </c:cat>
          <c:val>
            <c:numRef>
              <c:f>Q1_Crosstab_Counts!$B$5:$B$7</c:f>
              <c:numCache>
                <c:formatCode>General</c:formatCode>
                <c:ptCount val="2"/>
                <c:pt idx="0">
                  <c:v>16</c:v>
                </c:pt>
                <c:pt idx="1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6A-9543-845E-35E00F3DF78D}"/>
            </c:ext>
          </c:extLst>
        </c:ser>
        <c:ser>
          <c:idx val="1"/>
          <c:order val="1"/>
          <c:tx>
            <c:strRef>
              <c:f>Q1_Crosstab_Counts!$C$3:$C$4</c:f>
              <c:strCache>
                <c:ptCount val="1"/>
                <c:pt idx="0">
                  <c:v>60000-119999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Q1_Crosstab_Counts!$A$5:$A$7</c:f>
              <c:strCache>
                <c:ptCount val="2"/>
                <c:pt idx="0">
                  <c:v>College</c:v>
                </c:pt>
                <c:pt idx="1">
                  <c:v>Non-College</c:v>
                </c:pt>
              </c:strCache>
            </c:strRef>
          </c:cat>
          <c:val>
            <c:numRef>
              <c:f>Q1_Crosstab_Counts!$C$5:$C$7</c:f>
              <c:numCache>
                <c:formatCode>General</c:formatCode>
                <c:ptCount val="2"/>
                <c:pt idx="0">
                  <c:v>11</c:v>
                </c:pt>
                <c:pt idx="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6A-9543-845E-35E00F3DF78D}"/>
            </c:ext>
          </c:extLst>
        </c:ser>
        <c:ser>
          <c:idx val="2"/>
          <c:order val="2"/>
          <c:tx>
            <c:strRef>
              <c:f>Q1_Crosstab_Counts!$D$3:$D$4</c:f>
              <c:strCache>
                <c:ptCount val="1"/>
                <c:pt idx="0">
                  <c:v>120000-179999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Q1_Crosstab_Counts!$A$5:$A$7</c:f>
              <c:strCache>
                <c:ptCount val="2"/>
                <c:pt idx="0">
                  <c:v>College</c:v>
                </c:pt>
                <c:pt idx="1">
                  <c:v>Non-College</c:v>
                </c:pt>
              </c:strCache>
            </c:strRef>
          </c:cat>
          <c:val>
            <c:numRef>
              <c:f>Q1_Crosstab_Counts!$D$5:$D$7</c:f>
              <c:numCache>
                <c:formatCode>General</c:formatCode>
                <c:ptCount val="2"/>
                <c:pt idx="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26A-9543-845E-35E00F3DF78D}"/>
            </c:ext>
          </c:extLst>
        </c:ser>
        <c:ser>
          <c:idx val="3"/>
          <c:order val="3"/>
          <c:tx>
            <c:strRef>
              <c:f>Q1_Crosstab_Counts!$E$3:$E$4</c:f>
              <c:strCache>
                <c:ptCount val="1"/>
                <c:pt idx="0">
                  <c:v>180000-239999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Q1_Crosstab_Counts!$A$5:$A$7</c:f>
              <c:strCache>
                <c:ptCount val="2"/>
                <c:pt idx="0">
                  <c:v>College</c:v>
                </c:pt>
                <c:pt idx="1">
                  <c:v>Non-College</c:v>
                </c:pt>
              </c:strCache>
            </c:strRef>
          </c:cat>
          <c:val>
            <c:numRef>
              <c:f>Q1_Crosstab_Counts!$E$5:$E$7</c:f>
              <c:numCache>
                <c:formatCode>General</c:formatCode>
                <c:ptCount val="2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26A-9543-845E-35E00F3DF78D}"/>
            </c:ext>
          </c:extLst>
        </c:ser>
        <c:ser>
          <c:idx val="4"/>
          <c:order val="4"/>
          <c:tx>
            <c:strRef>
              <c:f>Q1_Crosstab_Counts!$F$3:$F$4</c:f>
              <c:strCache>
                <c:ptCount val="1"/>
                <c:pt idx="0">
                  <c:v>300000-359999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Q1_Crosstab_Counts!$A$5:$A$7</c:f>
              <c:strCache>
                <c:ptCount val="2"/>
                <c:pt idx="0">
                  <c:v>College</c:v>
                </c:pt>
                <c:pt idx="1">
                  <c:v>Non-College</c:v>
                </c:pt>
              </c:strCache>
            </c:strRef>
          </c:cat>
          <c:val>
            <c:numRef>
              <c:f>Q1_Crosstab_Counts!$F$5:$F$7</c:f>
              <c:numCache>
                <c:formatCode>General</c:formatCode>
                <c:ptCount val="2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26A-9543-845E-35E00F3DF7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3391103"/>
        <c:axId val="194991807"/>
      </c:barChart>
      <c:catAx>
        <c:axId val="193391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991807"/>
        <c:crosses val="autoZero"/>
        <c:auto val="1"/>
        <c:lblAlgn val="ctr"/>
        <c:lblOffset val="100"/>
        <c:noMultiLvlLbl val="0"/>
      </c:catAx>
      <c:valAx>
        <c:axId val="194991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91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n>
            <a:noFill/>
          </a:ln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Relationship Between Weekly Hours Worked and Annual Labor Income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/>
          </a:p>
        </c:rich>
      </c:tx>
      <c:layout>
        <c:manualLayout>
          <c:xMode val="edge"/>
          <c:yMode val="edge"/>
          <c:x val="0.1018055555555555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'Raw Data'!$B$2:$B$101</c:f>
              <c:numCache>
                <c:formatCode>General</c:formatCode>
                <c:ptCount val="100"/>
                <c:pt idx="0">
                  <c:v>40</c:v>
                </c:pt>
                <c:pt idx="1">
                  <c:v>40</c:v>
                </c:pt>
                <c:pt idx="2">
                  <c:v>35</c:v>
                </c:pt>
                <c:pt idx="3">
                  <c:v>20</c:v>
                </c:pt>
                <c:pt idx="4">
                  <c:v>12</c:v>
                </c:pt>
                <c:pt idx="5">
                  <c:v>40</c:v>
                </c:pt>
                <c:pt idx="6">
                  <c:v>40</c:v>
                </c:pt>
                <c:pt idx="7">
                  <c:v>40</c:v>
                </c:pt>
                <c:pt idx="8">
                  <c:v>40</c:v>
                </c:pt>
                <c:pt idx="9">
                  <c:v>40</c:v>
                </c:pt>
                <c:pt idx="10">
                  <c:v>40</c:v>
                </c:pt>
                <c:pt idx="11">
                  <c:v>40</c:v>
                </c:pt>
                <c:pt idx="12">
                  <c:v>30</c:v>
                </c:pt>
                <c:pt idx="13">
                  <c:v>40</c:v>
                </c:pt>
                <c:pt idx="14">
                  <c:v>38</c:v>
                </c:pt>
                <c:pt idx="15">
                  <c:v>40</c:v>
                </c:pt>
                <c:pt idx="16">
                  <c:v>49</c:v>
                </c:pt>
                <c:pt idx="17">
                  <c:v>40</c:v>
                </c:pt>
                <c:pt idx="18">
                  <c:v>40</c:v>
                </c:pt>
                <c:pt idx="19">
                  <c:v>40</c:v>
                </c:pt>
                <c:pt idx="20">
                  <c:v>40</c:v>
                </c:pt>
                <c:pt idx="21">
                  <c:v>40</c:v>
                </c:pt>
                <c:pt idx="22">
                  <c:v>60</c:v>
                </c:pt>
                <c:pt idx="23">
                  <c:v>0</c:v>
                </c:pt>
                <c:pt idx="24">
                  <c:v>40</c:v>
                </c:pt>
                <c:pt idx="25">
                  <c:v>40</c:v>
                </c:pt>
                <c:pt idx="26">
                  <c:v>0</c:v>
                </c:pt>
                <c:pt idx="27">
                  <c:v>0</c:v>
                </c:pt>
                <c:pt idx="28">
                  <c:v>40</c:v>
                </c:pt>
                <c:pt idx="29">
                  <c:v>55</c:v>
                </c:pt>
                <c:pt idx="30">
                  <c:v>40</c:v>
                </c:pt>
                <c:pt idx="31">
                  <c:v>40</c:v>
                </c:pt>
                <c:pt idx="32">
                  <c:v>40</c:v>
                </c:pt>
                <c:pt idx="33">
                  <c:v>45</c:v>
                </c:pt>
                <c:pt idx="34">
                  <c:v>40</c:v>
                </c:pt>
                <c:pt idx="35">
                  <c:v>40</c:v>
                </c:pt>
                <c:pt idx="36">
                  <c:v>40</c:v>
                </c:pt>
                <c:pt idx="37">
                  <c:v>0</c:v>
                </c:pt>
                <c:pt idx="38">
                  <c:v>40</c:v>
                </c:pt>
                <c:pt idx="39">
                  <c:v>40</c:v>
                </c:pt>
                <c:pt idx="40">
                  <c:v>40</c:v>
                </c:pt>
                <c:pt idx="41">
                  <c:v>25</c:v>
                </c:pt>
                <c:pt idx="42">
                  <c:v>40</c:v>
                </c:pt>
                <c:pt idx="43">
                  <c:v>40</c:v>
                </c:pt>
                <c:pt idx="44">
                  <c:v>40</c:v>
                </c:pt>
                <c:pt idx="45">
                  <c:v>30</c:v>
                </c:pt>
                <c:pt idx="46">
                  <c:v>40</c:v>
                </c:pt>
                <c:pt idx="47">
                  <c:v>40</c:v>
                </c:pt>
                <c:pt idx="48">
                  <c:v>15</c:v>
                </c:pt>
                <c:pt idx="49">
                  <c:v>65</c:v>
                </c:pt>
                <c:pt idx="50">
                  <c:v>40</c:v>
                </c:pt>
                <c:pt idx="51">
                  <c:v>20</c:v>
                </c:pt>
                <c:pt idx="52">
                  <c:v>40</c:v>
                </c:pt>
                <c:pt idx="53">
                  <c:v>40</c:v>
                </c:pt>
                <c:pt idx="54">
                  <c:v>40</c:v>
                </c:pt>
                <c:pt idx="55">
                  <c:v>40</c:v>
                </c:pt>
                <c:pt idx="56">
                  <c:v>48</c:v>
                </c:pt>
                <c:pt idx="57">
                  <c:v>40</c:v>
                </c:pt>
                <c:pt idx="58">
                  <c:v>40</c:v>
                </c:pt>
                <c:pt idx="59">
                  <c:v>40</c:v>
                </c:pt>
                <c:pt idx="60">
                  <c:v>40</c:v>
                </c:pt>
                <c:pt idx="61">
                  <c:v>40</c:v>
                </c:pt>
                <c:pt idx="62">
                  <c:v>40</c:v>
                </c:pt>
                <c:pt idx="63">
                  <c:v>1</c:v>
                </c:pt>
                <c:pt idx="64">
                  <c:v>40</c:v>
                </c:pt>
                <c:pt idx="65">
                  <c:v>24</c:v>
                </c:pt>
                <c:pt idx="66">
                  <c:v>40</c:v>
                </c:pt>
                <c:pt idx="67">
                  <c:v>20</c:v>
                </c:pt>
                <c:pt idx="68">
                  <c:v>50</c:v>
                </c:pt>
                <c:pt idx="69">
                  <c:v>40</c:v>
                </c:pt>
                <c:pt idx="70">
                  <c:v>40</c:v>
                </c:pt>
                <c:pt idx="71">
                  <c:v>20</c:v>
                </c:pt>
                <c:pt idx="72">
                  <c:v>40</c:v>
                </c:pt>
                <c:pt idx="73">
                  <c:v>40</c:v>
                </c:pt>
                <c:pt idx="74">
                  <c:v>40</c:v>
                </c:pt>
                <c:pt idx="75">
                  <c:v>40</c:v>
                </c:pt>
                <c:pt idx="76">
                  <c:v>40</c:v>
                </c:pt>
                <c:pt idx="77">
                  <c:v>40</c:v>
                </c:pt>
                <c:pt idx="78">
                  <c:v>60</c:v>
                </c:pt>
                <c:pt idx="79">
                  <c:v>50</c:v>
                </c:pt>
                <c:pt idx="80">
                  <c:v>40</c:v>
                </c:pt>
                <c:pt idx="81">
                  <c:v>20</c:v>
                </c:pt>
                <c:pt idx="82">
                  <c:v>80</c:v>
                </c:pt>
                <c:pt idx="83">
                  <c:v>12</c:v>
                </c:pt>
                <c:pt idx="84">
                  <c:v>40</c:v>
                </c:pt>
                <c:pt idx="85">
                  <c:v>35</c:v>
                </c:pt>
                <c:pt idx="86">
                  <c:v>90</c:v>
                </c:pt>
                <c:pt idx="87">
                  <c:v>40</c:v>
                </c:pt>
                <c:pt idx="88">
                  <c:v>40</c:v>
                </c:pt>
                <c:pt idx="89">
                  <c:v>32</c:v>
                </c:pt>
                <c:pt idx="90">
                  <c:v>40</c:v>
                </c:pt>
                <c:pt idx="91">
                  <c:v>40</c:v>
                </c:pt>
                <c:pt idx="92">
                  <c:v>0</c:v>
                </c:pt>
                <c:pt idx="93">
                  <c:v>40</c:v>
                </c:pt>
                <c:pt idx="94">
                  <c:v>36</c:v>
                </c:pt>
                <c:pt idx="95">
                  <c:v>50</c:v>
                </c:pt>
                <c:pt idx="96">
                  <c:v>36</c:v>
                </c:pt>
                <c:pt idx="97">
                  <c:v>40</c:v>
                </c:pt>
                <c:pt idx="98">
                  <c:v>40</c:v>
                </c:pt>
                <c:pt idx="99">
                  <c:v>80</c:v>
                </c:pt>
              </c:numCache>
            </c:numRef>
          </c:xVal>
          <c:yVal>
            <c:numRef>
              <c:f>'Raw Data'!$C$2:$C$101</c:f>
              <c:numCache>
                <c:formatCode>General</c:formatCode>
                <c:ptCount val="100"/>
                <c:pt idx="0">
                  <c:v>35000</c:v>
                </c:pt>
                <c:pt idx="1">
                  <c:v>42000</c:v>
                </c:pt>
                <c:pt idx="2">
                  <c:v>15626</c:v>
                </c:pt>
                <c:pt idx="3">
                  <c:v>24300</c:v>
                </c:pt>
                <c:pt idx="4">
                  <c:v>1500</c:v>
                </c:pt>
                <c:pt idx="5">
                  <c:v>96000</c:v>
                </c:pt>
                <c:pt idx="6">
                  <c:v>200000</c:v>
                </c:pt>
                <c:pt idx="7">
                  <c:v>80000</c:v>
                </c:pt>
                <c:pt idx="8">
                  <c:v>25000</c:v>
                </c:pt>
                <c:pt idx="9">
                  <c:v>45000</c:v>
                </c:pt>
                <c:pt idx="10">
                  <c:v>25000</c:v>
                </c:pt>
                <c:pt idx="11">
                  <c:v>43000</c:v>
                </c:pt>
                <c:pt idx="12">
                  <c:v>4500</c:v>
                </c:pt>
                <c:pt idx="13">
                  <c:v>60000</c:v>
                </c:pt>
                <c:pt idx="14">
                  <c:v>43500</c:v>
                </c:pt>
                <c:pt idx="15">
                  <c:v>60000</c:v>
                </c:pt>
                <c:pt idx="16">
                  <c:v>65000</c:v>
                </c:pt>
                <c:pt idx="17">
                  <c:v>53000</c:v>
                </c:pt>
                <c:pt idx="18">
                  <c:v>125000</c:v>
                </c:pt>
                <c:pt idx="19">
                  <c:v>150000</c:v>
                </c:pt>
                <c:pt idx="20">
                  <c:v>40000</c:v>
                </c:pt>
                <c:pt idx="21">
                  <c:v>44256</c:v>
                </c:pt>
                <c:pt idx="22">
                  <c:v>40000</c:v>
                </c:pt>
                <c:pt idx="23">
                  <c:v>0</c:v>
                </c:pt>
                <c:pt idx="24">
                  <c:v>70000</c:v>
                </c:pt>
                <c:pt idx="25">
                  <c:v>160000</c:v>
                </c:pt>
                <c:pt idx="26">
                  <c:v>16000</c:v>
                </c:pt>
                <c:pt idx="27">
                  <c:v>4000</c:v>
                </c:pt>
                <c:pt idx="28">
                  <c:v>43500</c:v>
                </c:pt>
                <c:pt idx="29">
                  <c:v>108000</c:v>
                </c:pt>
                <c:pt idx="30">
                  <c:v>38000</c:v>
                </c:pt>
                <c:pt idx="31">
                  <c:v>42120</c:v>
                </c:pt>
                <c:pt idx="32">
                  <c:v>42000</c:v>
                </c:pt>
                <c:pt idx="33">
                  <c:v>220000</c:v>
                </c:pt>
                <c:pt idx="34">
                  <c:v>10000</c:v>
                </c:pt>
                <c:pt idx="35">
                  <c:v>16688</c:v>
                </c:pt>
                <c:pt idx="36">
                  <c:v>53000</c:v>
                </c:pt>
                <c:pt idx="37">
                  <c:v>3000</c:v>
                </c:pt>
                <c:pt idx="38">
                  <c:v>28000</c:v>
                </c:pt>
                <c:pt idx="39">
                  <c:v>60000</c:v>
                </c:pt>
                <c:pt idx="40">
                  <c:v>35000</c:v>
                </c:pt>
                <c:pt idx="41">
                  <c:v>17000</c:v>
                </c:pt>
                <c:pt idx="42">
                  <c:v>50000</c:v>
                </c:pt>
                <c:pt idx="43">
                  <c:v>45000</c:v>
                </c:pt>
                <c:pt idx="44">
                  <c:v>59000</c:v>
                </c:pt>
                <c:pt idx="45">
                  <c:v>13000</c:v>
                </c:pt>
                <c:pt idx="46">
                  <c:v>52000</c:v>
                </c:pt>
                <c:pt idx="47">
                  <c:v>52000</c:v>
                </c:pt>
                <c:pt idx="48">
                  <c:v>10150</c:v>
                </c:pt>
                <c:pt idx="49">
                  <c:v>90000</c:v>
                </c:pt>
                <c:pt idx="50">
                  <c:v>50000</c:v>
                </c:pt>
                <c:pt idx="51">
                  <c:v>12000</c:v>
                </c:pt>
                <c:pt idx="52">
                  <c:v>148000</c:v>
                </c:pt>
                <c:pt idx="53">
                  <c:v>165000</c:v>
                </c:pt>
                <c:pt idx="54">
                  <c:v>10000</c:v>
                </c:pt>
                <c:pt idx="55">
                  <c:v>57000</c:v>
                </c:pt>
                <c:pt idx="56">
                  <c:v>166000</c:v>
                </c:pt>
                <c:pt idx="57">
                  <c:v>115000</c:v>
                </c:pt>
                <c:pt idx="58">
                  <c:v>190000</c:v>
                </c:pt>
                <c:pt idx="59">
                  <c:v>48000</c:v>
                </c:pt>
                <c:pt idx="60">
                  <c:v>55000</c:v>
                </c:pt>
                <c:pt idx="61">
                  <c:v>20000</c:v>
                </c:pt>
                <c:pt idx="62">
                  <c:v>37440</c:v>
                </c:pt>
                <c:pt idx="63">
                  <c:v>3000</c:v>
                </c:pt>
                <c:pt idx="64">
                  <c:v>18000</c:v>
                </c:pt>
                <c:pt idx="65">
                  <c:v>90000</c:v>
                </c:pt>
                <c:pt idx="66">
                  <c:v>55000</c:v>
                </c:pt>
                <c:pt idx="67">
                  <c:v>4000</c:v>
                </c:pt>
                <c:pt idx="68">
                  <c:v>35000</c:v>
                </c:pt>
                <c:pt idx="69">
                  <c:v>4000</c:v>
                </c:pt>
                <c:pt idx="70">
                  <c:v>101000</c:v>
                </c:pt>
                <c:pt idx="71">
                  <c:v>20000</c:v>
                </c:pt>
                <c:pt idx="72">
                  <c:v>58000</c:v>
                </c:pt>
                <c:pt idx="73">
                  <c:v>88000</c:v>
                </c:pt>
                <c:pt idx="74">
                  <c:v>38000</c:v>
                </c:pt>
                <c:pt idx="75">
                  <c:v>40000</c:v>
                </c:pt>
                <c:pt idx="76">
                  <c:v>110000</c:v>
                </c:pt>
                <c:pt idx="77">
                  <c:v>350000</c:v>
                </c:pt>
                <c:pt idx="78">
                  <c:v>60000</c:v>
                </c:pt>
                <c:pt idx="79">
                  <c:v>90000</c:v>
                </c:pt>
                <c:pt idx="80">
                  <c:v>40000</c:v>
                </c:pt>
                <c:pt idx="81">
                  <c:v>32000</c:v>
                </c:pt>
                <c:pt idx="82">
                  <c:v>50000</c:v>
                </c:pt>
                <c:pt idx="83">
                  <c:v>15000</c:v>
                </c:pt>
                <c:pt idx="84">
                  <c:v>66767</c:v>
                </c:pt>
                <c:pt idx="85">
                  <c:v>8566</c:v>
                </c:pt>
                <c:pt idx="86">
                  <c:v>98000</c:v>
                </c:pt>
                <c:pt idx="87">
                  <c:v>75000</c:v>
                </c:pt>
                <c:pt idx="88">
                  <c:v>100000</c:v>
                </c:pt>
                <c:pt idx="89">
                  <c:v>25000</c:v>
                </c:pt>
                <c:pt idx="90">
                  <c:v>138000</c:v>
                </c:pt>
                <c:pt idx="91">
                  <c:v>126090</c:v>
                </c:pt>
                <c:pt idx="92">
                  <c:v>100000</c:v>
                </c:pt>
                <c:pt idx="93">
                  <c:v>50000</c:v>
                </c:pt>
                <c:pt idx="94">
                  <c:v>35000</c:v>
                </c:pt>
                <c:pt idx="95">
                  <c:v>188000</c:v>
                </c:pt>
                <c:pt idx="96">
                  <c:v>82000</c:v>
                </c:pt>
                <c:pt idx="97">
                  <c:v>27000</c:v>
                </c:pt>
                <c:pt idx="98">
                  <c:v>19000</c:v>
                </c:pt>
                <c:pt idx="99">
                  <c:v>70000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F8-944C-AB2E-7090D09C57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145343"/>
        <c:axId val="199636543"/>
      </c:scatterChart>
      <c:valAx>
        <c:axId val="209145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primary</a:t>
                </a:r>
                <a:r>
                  <a:rPr lang="en-US" baseline="0"/>
                  <a:t> Vertical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36543"/>
        <c:crosses val="autoZero"/>
        <c:crossBetween val="midCat"/>
      </c:valAx>
      <c:valAx>
        <c:axId val="199636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Primary</a:t>
                </a:r>
                <a:r>
                  <a:rPr lang="en-US" baseline="0"/>
                  <a:t> Horizontal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1453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Education</a:t>
            </a:r>
            <a:r>
              <a:rPr lang="en-US" baseline="0"/>
              <a:t> Level Frequency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Q1_Employment_Frequency!$B$1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Q1_Employment_Frequency!$A$2:$A$3</c:f>
              <c:strCache>
                <c:ptCount val="2"/>
                <c:pt idx="0">
                  <c:v>College</c:v>
                </c:pt>
                <c:pt idx="1">
                  <c:v>Non-College</c:v>
                </c:pt>
              </c:strCache>
            </c:strRef>
          </c:cat>
          <c:val>
            <c:numRef>
              <c:f>Q1_Employment_Frequency!$B$2:$B$3</c:f>
              <c:numCache>
                <c:formatCode>General</c:formatCode>
                <c:ptCount val="2"/>
                <c:pt idx="0">
                  <c:v>40</c:v>
                </c:pt>
                <c:pt idx="1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67-8042-B432-5EA6935E45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405631"/>
        <c:axId val="174399807"/>
      </c:barChart>
      <c:catAx>
        <c:axId val="174405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399807"/>
        <c:crosses val="autoZero"/>
        <c:auto val="1"/>
        <c:lblAlgn val="ctr"/>
        <c:lblOffset val="100"/>
        <c:noMultiLvlLbl val="0"/>
      </c:catAx>
      <c:valAx>
        <c:axId val="174399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405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662902</xdr:colOff>
      <xdr:row>8</xdr:row>
      <xdr:rowOff>76392</xdr:rowOff>
    </xdr:from>
    <xdr:to>
      <xdr:col>6</xdr:col>
      <xdr:colOff>145280</xdr:colOff>
      <xdr:row>22</xdr:row>
      <xdr:rowOff>173759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898A84-2D68-D092-36DB-93FCD1BF8D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622300</xdr:colOff>
      <xdr:row>11</xdr:row>
      <xdr:rowOff>12700</xdr:rowOff>
    </xdr:from>
    <xdr:to>
      <xdr:col>9</xdr:col>
      <xdr:colOff>241300</xdr:colOff>
      <xdr:row>25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E06D99-9A03-21F6-3E9E-C3AE62CCB4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1022350</xdr:colOff>
      <xdr:row>9</xdr:row>
      <xdr:rowOff>127000</xdr:rowOff>
    </xdr:from>
    <xdr:to>
      <xdr:col>6</xdr:col>
      <xdr:colOff>374650</xdr:colOff>
      <xdr:row>29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502875-33F7-1B9B-5060-AF1F0F5832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0.40417</cdr:x>
      <cdr:y>0.0756</cdr:y>
    </cdr:from>
    <cdr:to>
      <cdr:x>0.60417</cdr:x>
      <cdr:y>0.13746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0E970773-F62B-30F2-C0C4-92A3870F27EF}"/>
            </a:ext>
          </a:extLst>
        </cdr:cNvPr>
        <cdr:cNvSpPr txBox="1"/>
      </cdr:nvSpPr>
      <cdr:spPr>
        <a:xfrm xmlns:a="http://schemas.openxmlformats.org/drawingml/2006/main">
          <a:off x="1847850" y="279400"/>
          <a:ext cx="914400" cy="2286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0.2125</cdr:x>
      <cdr:y>0.0378</cdr:y>
    </cdr:from>
    <cdr:to>
      <cdr:x>0.76528</cdr:x>
      <cdr:y>0.12715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D2B0FB1D-4FA8-64B3-AFD2-7E188C28A840}"/>
            </a:ext>
          </a:extLst>
        </cdr:cNvPr>
        <cdr:cNvSpPr txBox="1"/>
      </cdr:nvSpPr>
      <cdr:spPr>
        <a:xfrm xmlns:a="http://schemas.openxmlformats.org/drawingml/2006/main">
          <a:off x="971550" y="139700"/>
          <a:ext cx="2527300" cy="3302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b="1"/>
            <a:t>Annual Labor Income by Education Level</a:t>
          </a:r>
          <a:endParaRPr lang="en-US"/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552450</xdr:colOff>
      <xdr:row>73</xdr:row>
      <xdr:rowOff>63500</xdr:rowOff>
    </xdr:from>
    <xdr:to>
      <xdr:col>4</xdr:col>
      <xdr:colOff>2660650</xdr:colOff>
      <xdr:row>87</xdr:row>
      <xdr:rowOff>139700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6846400-D412-3334-340D-2B5F274B90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787400</xdr:colOff>
      <xdr:row>1</xdr:row>
      <xdr:rowOff>63500</xdr:rowOff>
    </xdr:from>
    <xdr:to>
      <xdr:col>8</xdr:col>
      <xdr:colOff>406400</xdr:colOff>
      <xdr:row>15</xdr:row>
      <xdr:rowOff>139700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19FA8CD-B180-36EC-D773-779EB077E0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telhem tadesse" refreshedDate="46070.619818055558" createdVersion="8" refreshedVersion="8" minRefreshableVersion="3" recordCount="100" xr:uid="{C8EB6AA9-9327-D94B-81C5-EC5B167230B6}">
  <cacheSource type="worksheet">
    <worksheetSource ref="A1:F101" sheet="Raw Data"/>
  </cacheSource>
  <cacheFields count="5">
    <cacheField name="cpsid" numFmtId="1">
      <sharedItems containsSemiMixedTypes="0" containsString="0" containsNumber="1" containsInteger="1" minValue="20231200039800" maxValue="20251308525300"/>
    </cacheField>
    <cacheField name="Weekly Hours Worked" numFmtId="0">
      <sharedItems containsSemiMixedTypes="0" containsString="0" containsNumber="1" containsInteger="1" minValue="0" maxValue="90"/>
    </cacheField>
    <cacheField name="Annual Labor Income" numFmtId="0">
      <sharedItems containsSemiMixedTypes="0" containsString="0" containsNumber="1" containsInteger="1" minValue="0" maxValue="350000"/>
    </cacheField>
    <cacheField name="Education Level" numFmtId="1">
      <sharedItems count="2">
        <s v="Non-College"/>
        <s v="College"/>
      </sharedItems>
    </cacheField>
    <cacheField name="Employment Status" numFmtId="1">
      <sharedItems count="2">
        <s v="Employed"/>
        <s v="Unemploy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telhem tadesse" refreshedDate="46071.743170717593" createdVersion="8" refreshedVersion="8" minRefreshableVersion="3" recordCount="100" xr:uid="{FA6B87DA-B53A-FD48-BD0D-24447D6E658B}">
  <cacheSource type="worksheet">
    <worksheetSource ref="C1:F101" sheet="Raw Data"/>
  </cacheSource>
  <cacheFields count="4">
    <cacheField name="Annual Labor Income" numFmtId="0">
      <sharedItems containsSemiMixedTypes="0" containsString="0" containsNumber="1" containsInteger="1" minValue="0" maxValue="350000" count="70">
        <n v="35000"/>
        <n v="42000"/>
        <n v="15626"/>
        <n v="24300"/>
        <n v="1500"/>
        <n v="96000"/>
        <n v="200000"/>
        <n v="80000"/>
        <n v="25000"/>
        <n v="45000"/>
        <n v="43000"/>
        <n v="4500"/>
        <n v="60000"/>
        <n v="43500"/>
        <n v="65000"/>
        <n v="53000"/>
        <n v="125000"/>
        <n v="150000"/>
        <n v="40000"/>
        <n v="44256"/>
        <n v="0"/>
        <n v="70000"/>
        <n v="160000"/>
        <n v="16000"/>
        <n v="4000"/>
        <n v="108000"/>
        <n v="38000"/>
        <n v="42120"/>
        <n v="220000"/>
        <n v="10000"/>
        <n v="16688"/>
        <n v="3000"/>
        <n v="28000"/>
        <n v="17000"/>
        <n v="50000"/>
        <n v="59000"/>
        <n v="13000"/>
        <n v="52000"/>
        <n v="10150"/>
        <n v="90000"/>
        <n v="12000"/>
        <n v="148000"/>
        <n v="165000"/>
        <n v="57000"/>
        <n v="166000"/>
        <n v="115000"/>
        <n v="190000"/>
        <n v="48000"/>
        <n v="55000"/>
        <n v="20000"/>
        <n v="37440"/>
        <n v="18000"/>
        <n v="101000"/>
        <n v="58000"/>
        <n v="88000"/>
        <n v="110000"/>
        <n v="350000"/>
        <n v="32000"/>
        <n v="15000"/>
        <n v="66767"/>
        <n v="8566"/>
        <n v="98000"/>
        <n v="75000"/>
        <n v="100000"/>
        <n v="138000"/>
        <n v="126090"/>
        <n v="188000"/>
        <n v="82000"/>
        <n v="27000"/>
        <n v="19000"/>
      </sharedItems>
    </cacheField>
    <cacheField name="Income Class" numFmtId="0">
      <sharedItems count="5">
        <s v="0-59999"/>
        <s v="60000-119999"/>
        <s v="180000-239999"/>
        <s v="120000-179999"/>
        <s v="300000-359999"/>
      </sharedItems>
    </cacheField>
    <cacheField name="Education Level" numFmtId="1">
      <sharedItems/>
    </cacheField>
    <cacheField name="Employment Status" numFmtId="1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telhem tadesse" refreshedDate="46071.810091666666" createdVersion="8" refreshedVersion="8" minRefreshableVersion="3" recordCount="100" xr:uid="{0DA72ED6-60AD-E44F-B84F-FE331CD35F17}">
  <cacheSource type="worksheet">
    <worksheetSource name="Table1"/>
  </cacheSource>
  <cacheFields count="6">
    <cacheField name="cpsid" numFmtId="1">
      <sharedItems containsSemiMixedTypes="0" containsString="0" containsNumber="1" containsInteger="1" minValue="20231200039800" maxValue="20251308525300"/>
    </cacheField>
    <cacheField name="Weekly Hours Worked" numFmtId="0">
      <sharedItems containsSemiMixedTypes="0" containsString="0" containsNumber="1" containsInteger="1" minValue="0" maxValue="90"/>
    </cacheField>
    <cacheField name="Annual Labor Income" numFmtId="0">
      <sharedItems containsSemiMixedTypes="0" containsString="0" containsNumber="1" containsInteger="1" minValue="0" maxValue="350000"/>
    </cacheField>
    <cacheField name="Income class" numFmtId="0">
      <sharedItems count="5">
        <s v="0-59999"/>
        <s v="60000-119999"/>
        <s v="180000-239999"/>
        <s v="120000-179999"/>
        <s v="300000-359999"/>
      </sharedItems>
    </cacheField>
    <cacheField name="Education Level" numFmtId="1">
      <sharedItems count="2">
        <s v="Non-College"/>
        <s v="College"/>
      </sharedItems>
    </cacheField>
    <cacheField name="Employment Status" numFmtId="1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20250204494400"/>
    <n v="40"/>
    <n v="35000"/>
    <x v="0"/>
    <x v="0"/>
  </r>
  <r>
    <n v="20250101538800"/>
    <n v="40"/>
    <n v="42000"/>
    <x v="0"/>
    <x v="0"/>
  </r>
  <r>
    <n v="20250103144000"/>
    <n v="35"/>
    <n v="15626"/>
    <x v="0"/>
    <x v="0"/>
  </r>
  <r>
    <n v="20241203933500"/>
    <n v="20"/>
    <n v="24300"/>
    <x v="1"/>
    <x v="0"/>
  </r>
  <r>
    <n v="20250105815500"/>
    <n v="12"/>
    <n v="1500"/>
    <x v="1"/>
    <x v="0"/>
  </r>
  <r>
    <n v="20241206225400"/>
    <n v="40"/>
    <n v="96000"/>
    <x v="0"/>
    <x v="0"/>
  </r>
  <r>
    <n v="20240300558600"/>
    <n v="40"/>
    <n v="200000"/>
    <x v="1"/>
    <x v="0"/>
  </r>
  <r>
    <n v="20240300143200"/>
    <n v="40"/>
    <n v="80000"/>
    <x v="1"/>
    <x v="0"/>
  </r>
  <r>
    <n v="20251302329900"/>
    <n v="40"/>
    <n v="25000"/>
    <x v="0"/>
    <x v="0"/>
  </r>
  <r>
    <n v="20240300591600"/>
    <n v="40"/>
    <n v="45000"/>
    <x v="0"/>
    <x v="0"/>
  </r>
  <r>
    <n v="20251300777300"/>
    <n v="40"/>
    <n v="25000"/>
    <x v="0"/>
    <x v="0"/>
  </r>
  <r>
    <n v="20250103661700"/>
    <n v="40"/>
    <n v="43000"/>
    <x v="0"/>
    <x v="0"/>
  </r>
  <r>
    <n v="20240100085800"/>
    <n v="30"/>
    <n v="4500"/>
    <x v="0"/>
    <x v="0"/>
  </r>
  <r>
    <n v="20240100195000"/>
    <n v="40"/>
    <n v="60000"/>
    <x v="1"/>
    <x v="0"/>
  </r>
  <r>
    <n v="20250105049400"/>
    <n v="38"/>
    <n v="43500"/>
    <x v="0"/>
    <x v="0"/>
  </r>
  <r>
    <n v="20251308468200"/>
    <n v="40"/>
    <n v="60000"/>
    <x v="0"/>
    <x v="0"/>
  </r>
  <r>
    <n v="20250306446600"/>
    <n v="49"/>
    <n v="65000"/>
    <x v="0"/>
    <x v="0"/>
  </r>
  <r>
    <n v="20251307273000"/>
    <n v="40"/>
    <n v="53000"/>
    <x v="0"/>
    <x v="0"/>
  </r>
  <r>
    <n v="20250106534100"/>
    <n v="40"/>
    <n v="125000"/>
    <x v="1"/>
    <x v="0"/>
  </r>
  <r>
    <n v="20240100081300"/>
    <n v="40"/>
    <n v="150000"/>
    <x v="1"/>
    <x v="0"/>
  </r>
  <r>
    <n v="20241201920400"/>
    <n v="40"/>
    <n v="40000"/>
    <x v="0"/>
    <x v="0"/>
  </r>
  <r>
    <n v="20250205471300"/>
    <n v="40"/>
    <n v="44256"/>
    <x v="1"/>
    <x v="0"/>
  </r>
  <r>
    <n v="20240100851600"/>
    <n v="60"/>
    <n v="40000"/>
    <x v="0"/>
    <x v="0"/>
  </r>
  <r>
    <n v="20241301363900"/>
    <n v="0"/>
    <n v="0"/>
    <x v="0"/>
    <x v="1"/>
  </r>
  <r>
    <n v="20251300784100"/>
    <n v="40"/>
    <n v="70000"/>
    <x v="0"/>
    <x v="0"/>
  </r>
  <r>
    <n v="20250305961700"/>
    <n v="40"/>
    <n v="160000"/>
    <x v="1"/>
    <x v="0"/>
  </r>
  <r>
    <n v="20250202016300"/>
    <n v="0"/>
    <n v="16000"/>
    <x v="0"/>
    <x v="1"/>
  </r>
  <r>
    <n v="20241300664500"/>
    <n v="0"/>
    <n v="4000"/>
    <x v="0"/>
    <x v="1"/>
  </r>
  <r>
    <n v="20250100991500"/>
    <n v="40"/>
    <n v="43500"/>
    <x v="0"/>
    <x v="0"/>
  </r>
  <r>
    <n v="20250200863800"/>
    <n v="55"/>
    <n v="108000"/>
    <x v="1"/>
    <x v="0"/>
  </r>
  <r>
    <n v="20240100597000"/>
    <n v="40"/>
    <n v="38000"/>
    <x v="0"/>
    <x v="0"/>
  </r>
  <r>
    <n v="20241302497800"/>
    <n v="40"/>
    <n v="42120"/>
    <x v="0"/>
    <x v="0"/>
  </r>
  <r>
    <n v="20250206071500"/>
    <n v="40"/>
    <n v="42000"/>
    <x v="0"/>
    <x v="0"/>
  </r>
  <r>
    <n v="20250105251200"/>
    <n v="45"/>
    <n v="220000"/>
    <x v="1"/>
    <x v="0"/>
  </r>
  <r>
    <n v="20251303188200"/>
    <n v="40"/>
    <n v="10000"/>
    <x v="0"/>
    <x v="0"/>
  </r>
  <r>
    <n v="20241205823200"/>
    <n v="40"/>
    <n v="16688"/>
    <x v="0"/>
    <x v="0"/>
  </r>
  <r>
    <n v="20241205943100"/>
    <n v="40"/>
    <n v="53000"/>
    <x v="0"/>
    <x v="0"/>
  </r>
  <r>
    <n v="20251305399500"/>
    <n v="0"/>
    <n v="3000"/>
    <x v="0"/>
    <x v="0"/>
  </r>
  <r>
    <n v="20251308525300"/>
    <n v="40"/>
    <n v="28000"/>
    <x v="0"/>
    <x v="0"/>
  </r>
  <r>
    <n v="20250304997600"/>
    <n v="40"/>
    <n v="60000"/>
    <x v="1"/>
    <x v="0"/>
  </r>
  <r>
    <n v="20251306816100"/>
    <n v="40"/>
    <n v="35000"/>
    <x v="0"/>
    <x v="0"/>
  </r>
  <r>
    <n v="20250204768800"/>
    <n v="25"/>
    <n v="17000"/>
    <x v="0"/>
    <x v="0"/>
  </r>
  <r>
    <n v="20251304636900"/>
    <n v="40"/>
    <n v="50000"/>
    <x v="0"/>
    <x v="0"/>
  </r>
  <r>
    <n v="20241202411400"/>
    <n v="40"/>
    <n v="45000"/>
    <x v="0"/>
    <x v="0"/>
  </r>
  <r>
    <n v="20231200039800"/>
    <n v="40"/>
    <n v="59000"/>
    <x v="0"/>
    <x v="0"/>
  </r>
  <r>
    <n v="20251308172000"/>
    <n v="30"/>
    <n v="13000"/>
    <x v="0"/>
    <x v="0"/>
  </r>
  <r>
    <n v="20231200443700"/>
    <n v="40"/>
    <n v="52000"/>
    <x v="0"/>
    <x v="0"/>
  </r>
  <r>
    <n v="20250101623000"/>
    <n v="40"/>
    <n v="52000"/>
    <x v="0"/>
    <x v="0"/>
  </r>
  <r>
    <n v="20250102597600"/>
    <n v="15"/>
    <n v="10150"/>
    <x v="0"/>
    <x v="0"/>
  </r>
  <r>
    <n v="20240300215500"/>
    <n v="65"/>
    <n v="90000"/>
    <x v="0"/>
    <x v="0"/>
  </r>
  <r>
    <n v="20251304959300"/>
    <n v="40"/>
    <n v="50000"/>
    <x v="1"/>
    <x v="0"/>
  </r>
  <r>
    <n v="20240300233600"/>
    <n v="20"/>
    <n v="12000"/>
    <x v="0"/>
    <x v="0"/>
  </r>
  <r>
    <n v="20240200104600"/>
    <n v="40"/>
    <n v="148000"/>
    <x v="1"/>
    <x v="0"/>
  </r>
  <r>
    <n v="20231200068900"/>
    <n v="40"/>
    <n v="165000"/>
    <x v="1"/>
    <x v="0"/>
  </r>
  <r>
    <n v="20250306715100"/>
    <n v="40"/>
    <n v="10000"/>
    <x v="0"/>
    <x v="0"/>
  </r>
  <r>
    <n v="20251302066000"/>
    <n v="40"/>
    <n v="57000"/>
    <x v="1"/>
    <x v="0"/>
  </r>
  <r>
    <n v="20241307906200"/>
    <n v="48"/>
    <n v="166000"/>
    <x v="1"/>
    <x v="0"/>
  </r>
  <r>
    <n v="20251300677800"/>
    <n v="40"/>
    <n v="115000"/>
    <x v="0"/>
    <x v="0"/>
  </r>
  <r>
    <n v="20250105348600"/>
    <n v="40"/>
    <n v="190000"/>
    <x v="1"/>
    <x v="0"/>
  </r>
  <r>
    <n v="20241205977700"/>
    <n v="40"/>
    <n v="48000"/>
    <x v="1"/>
    <x v="0"/>
  </r>
  <r>
    <n v="20250103164500"/>
    <n v="40"/>
    <n v="55000"/>
    <x v="0"/>
    <x v="0"/>
  </r>
  <r>
    <n v="20241306318100"/>
    <n v="40"/>
    <n v="20000"/>
    <x v="0"/>
    <x v="0"/>
  </r>
  <r>
    <n v="20241304355200"/>
    <n v="40"/>
    <n v="37440"/>
    <x v="0"/>
    <x v="0"/>
  </r>
  <r>
    <n v="20240300407400"/>
    <n v="1"/>
    <n v="3000"/>
    <x v="1"/>
    <x v="0"/>
  </r>
  <r>
    <n v="20241200152600"/>
    <n v="40"/>
    <n v="18000"/>
    <x v="0"/>
    <x v="0"/>
  </r>
  <r>
    <n v="20241308354400"/>
    <n v="24"/>
    <n v="90000"/>
    <x v="1"/>
    <x v="0"/>
  </r>
  <r>
    <n v="20250202642800"/>
    <n v="40"/>
    <n v="55000"/>
    <x v="1"/>
    <x v="0"/>
  </r>
  <r>
    <n v="20250300139600"/>
    <n v="20"/>
    <n v="4000"/>
    <x v="1"/>
    <x v="0"/>
  </r>
  <r>
    <n v="20250203528600"/>
    <n v="50"/>
    <n v="35000"/>
    <x v="0"/>
    <x v="0"/>
  </r>
  <r>
    <n v="20251304798600"/>
    <n v="40"/>
    <n v="4000"/>
    <x v="1"/>
    <x v="0"/>
  </r>
  <r>
    <n v="20251307406000"/>
    <n v="40"/>
    <n v="101000"/>
    <x v="1"/>
    <x v="0"/>
  </r>
  <r>
    <n v="20251304671100"/>
    <n v="20"/>
    <n v="20000"/>
    <x v="1"/>
    <x v="0"/>
  </r>
  <r>
    <n v="20241200576000"/>
    <n v="40"/>
    <n v="58000"/>
    <x v="1"/>
    <x v="0"/>
  </r>
  <r>
    <n v="20251307014200"/>
    <n v="40"/>
    <n v="88000"/>
    <x v="0"/>
    <x v="0"/>
  </r>
  <r>
    <n v="20251300743500"/>
    <n v="40"/>
    <n v="38000"/>
    <x v="0"/>
    <x v="0"/>
  </r>
  <r>
    <n v="20251307804700"/>
    <n v="40"/>
    <n v="40000"/>
    <x v="0"/>
    <x v="0"/>
  </r>
  <r>
    <n v="20250305533300"/>
    <n v="40"/>
    <n v="110000"/>
    <x v="1"/>
    <x v="0"/>
  </r>
  <r>
    <n v="20251306402900"/>
    <n v="40"/>
    <n v="350000"/>
    <x v="1"/>
    <x v="0"/>
  </r>
  <r>
    <n v="20250101070500"/>
    <n v="60"/>
    <n v="60000"/>
    <x v="0"/>
    <x v="0"/>
  </r>
  <r>
    <n v="20231200329500"/>
    <n v="50"/>
    <n v="90000"/>
    <x v="0"/>
    <x v="0"/>
  </r>
  <r>
    <n v="20241304607000"/>
    <n v="40"/>
    <n v="40000"/>
    <x v="0"/>
    <x v="0"/>
  </r>
  <r>
    <n v="20241204927700"/>
    <n v="20"/>
    <n v="32000"/>
    <x v="1"/>
    <x v="0"/>
  </r>
  <r>
    <n v="20240300136100"/>
    <n v="80"/>
    <n v="50000"/>
    <x v="1"/>
    <x v="0"/>
  </r>
  <r>
    <n v="20250300796500"/>
    <n v="12"/>
    <n v="15000"/>
    <x v="0"/>
    <x v="0"/>
  </r>
  <r>
    <n v="20241202173300"/>
    <n v="40"/>
    <n v="66767"/>
    <x v="1"/>
    <x v="0"/>
  </r>
  <r>
    <n v="20250301173100"/>
    <n v="35"/>
    <n v="8566"/>
    <x v="0"/>
    <x v="0"/>
  </r>
  <r>
    <n v="20241302372000"/>
    <n v="90"/>
    <n v="98000"/>
    <x v="0"/>
    <x v="0"/>
  </r>
  <r>
    <n v="20240200193400"/>
    <n v="40"/>
    <n v="75000"/>
    <x v="1"/>
    <x v="0"/>
  </r>
  <r>
    <n v="20241302321300"/>
    <n v="40"/>
    <n v="100000"/>
    <x v="0"/>
    <x v="0"/>
  </r>
  <r>
    <n v="20251307184600"/>
    <n v="32"/>
    <n v="25000"/>
    <x v="0"/>
    <x v="0"/>
  </r>
  <r>
    <n v="20240200558300"/>
    <n v="40"/>
    <n v="138000"/>
    <x v="1"/>
    <x v="0"/>
  </r>
  <r>
    <n v="20251302007400"/>
    <n v="40"/>
    <n v="126090"/>
    <x v="1"/>
    <x v="0"/>
  </r>
  <r>
    <n v="20251301097200"/>
    <n v="0"/>
    <n v="100000"/>
    <x v="1"/>
    <x v="1"/>
  </r>
  <r>
    <n v="20240100207800"/>
    <n v="40"/>
    <n v="50000"/>
    <x v="1"/>
    <x v="0"/>
  </r>
  <r>
    <n v="20240300273800"/>
    <n v="36"/>
    <n v="35000"/>
    <x v="0"/>
    <x v="0"/>
  </r>
  <r>
    <n v="20250103038100"/>
    <n v="50"/>
    <n v="188000"/>
    <x v="1"/>
    <x v="0"/>
  </r>
  <r>
    <n v="20241300726000"/>
    <n v="36"/>
    <n v="82000"/>
    <x v="1"/>
    <x v="0"/>
  </r>
  <r>
    <n v="20250103333000"/>
    <n v="40"/>
    <n v="27000"/>
    <x v="0"/>
    <x v="0"/>
  </r>
  <r>
    <n v="20250300922400"/>
    <n v="40"/>
    <n v="19000"/>
    <x v="1"/>
    <x v="0"/>
  </r>
  <r>
    <n v="20251300501300"/>
    <n v="80"/>
    <n v="70000"/>
    <x v="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x v="0"/>
    <s v="Non-College"/>
    <s v="Employed"/>
  </r>
  <r>
    <x v="1"/>
    <x v="0"/>
    <s v="Non-College"/>
    <s v="Employed"/>
  </r>
  <r>
    <x v="2"/>
    <x v="0"/>
    <s v="Non-College"/>
    <s v="Employed"/>
  </r>
  <r>
    <x v="3"/>
    <x v="0"/>
    <s v="College"/>
    <s v="Employed"/>
  </r>
  <r>
    <x v="4"/>
    <x v="0"/>
    <s v="College"/>
    <s v="Employed"/>
  </r>
  <r>
    <x v="5"/>
    <x v="1"/>
    <s v="Non-College"/>
    <s v="Employed"/>
  </r>
  <r>
    <x v="6"/>
    <x v="2"/>
    <s v="College"/>
    <s v="Employed"/>
  </r>
  <r>
    <x v="7"/>
    <x v="1"/>
    <s v="College"/>
    <s v="Employed"/>
  </r>
  <r>
    <x v="8"/>
    <x v="0"/>
    <s v="Non-College"/>
    <s v="Employed"/>
  </r>
  <r>
    <x v="9"/>
    <x v="0"/>
    <s v="Non-College"/>
    <s v="Employed"/>
  </r>
  <r>
    <x v="8"/>
    <x v="0"/>
    <s v="Non-College"/>
    <s v="Employed"/>
  </r>
  <r>
    <x v="10"/>
    <x v="0"/>
    <s v="Non-College"/>
    <s v="Employed"/>
  </r>
  <r>
    <x v="11"/>
    <x v="0"/>
    <s v="Non-College"/>
    <s v="Employed"/>
  </r>
  <r>
    <x v="12"/>
    <x v="1"/>
    <s v="College"/>
    <s v="Employed"/>
  </r>
  <r>
    <x v="13"/>
    <x v="0"/>
    <s v="Non-College"/>
    <s v="Employed"/>
  </r>
  <r>
    <x v="12"/>
    <x v="1"/>
    <s v="Non-College"/>
    <s v="Employed"/>
  </r>
  <r>
    <x v="14"/>
    <x v="1"/>
    <s v="Non-College"/>
    <s v="Employed"/>
  </r>
  <r>
    <x v="15"/>
    <x v="0"/>
    <s v="Non-College"/>
    <s v="Employed"/>
  </r>
  <r>
    <x v="16"/>
    <x v="3"/>
    <s v="College"/>
    <s v="Employed"/>
  </r>
  <r>
    <x v="17"/>
    <x v="3"/>
    <s v="College"/>
    <s v="Employed"/>
  </r>
  <r>
    <x v="18"/>
    <x v="0"/>
    <s v="Non-College"/>
    <s v="Employed"/>
  </r>
  <r>
    <x v="19"/>
    <x v="0"/>
    <s v="College"/>
    <s v="Employed"/>
  </r>
  <r>
    <x v="18"/>
    <x v="0"/>
    <s v="Non-College"/>
    <s v="Employed"/>
  </r>
  <r>
    <x v="20"/>
    <x v="0"/>
    <s v="Non-College"/>
    <s v="Unemployed"/>
  </r>
  <r>
    <x v="21"/>
    <x v="1"/>
    <s v="Non-College"/>
    <s v="Employed"/>
  </r>
  <r>
    <x v="22"/>
    <x v="3"/>
    <s v="College"/>
    <s v="Employed"/>
  </r>
  <r>
    <x v="23"/>
    <x v="0"/>
    <s v="Non-College"/>
    <s v="Unemployed"/>
  </r>
  <r>
    <x v="24"/>
    <x v="0"/>
    <s v="Non-College"/>
    <s v="Unemployed"/>
  </r>
  <r>
    <x v="13"/>
    <x v="0"/>
    <s v="Non-College"/>
    <s v="Employed"/>
  </r>
  <r>
    <x v="25"/>
    <x v="1"/>
    <s v="College"/>
    <s v="Employed"/>
  </r>
  <r>
    <x v="26"/>
    <x v="0"/>
    <s v="Non-College"/>
    <s v="Employed"/>
  </r>
  <r>
    <x v="27"/>
    <x v="0"/>
    <s v="Non-College"/>
    <s v="Employed"/>
  </r>
  <r>
    <x v="1"/>
    <x v="0"/>
    <s v="Non-College"/>
    <s v="Employed"/>
  </r>
  <r>
    <x v="28"/>
    <x v="2"/>
    <s v="College"/>
    <s v="Employed"/>
  </r>
  <r>
    <x v="29"/>
    <x v="0"/>
    <s v="Non-College"/>
    <s v="Employed"/>
  </r>
  <r>
    <x v="30"/>
    <x v="0"/>
    <s v="Non-College"/>
    <s v="Employed"/>
  </r>
  <r>
    <x v="15"/>
    <x v="0"/>
    <s v="Non-College"/>
    <s v="Employed"/>
  </r>
  <r>
    <x v="31"/>
    <x v="0"/>
    <s v="Non-College"/>
    <s v="Employed"/>
  </r>
  <r>
    <x v="32"/>
    <x v="0"/>
    <s v="Non-College"/>
    <s v="Employed"/>
  </r>
  <r>
    <x v="12"/>
    <x v="1"/>
    <s v="College"/>
    <s v="Employed"/>
  </r>
  <r>
    <x v="0"/>
    <x v="0"/>
    <s v="Non-College"/>
    <s v="Employed"/>
  </r>
  <r>
    <x v="33"/>
    <x v="0"/>
    <s v="Non-College"/>
    <s v="Employed"/>
  </r>
  <r>
    <x v="34"/>
    <x v="0"/>
    <s v="Non-College"/>
    <s v="Employed"/>
  </r>
  <r>
    <x v="9"/>
    <x v="0"/>
    <s v="Non-College"/>
    <s v="Employed"/>
  </r>
  <r>
    <x v="35"/>
    <x v="0"/>
    <s v="Non-College"/>
    <s v="Employed"/>
  </r>
  <r>
    <x v="36"/>
    <x v="0"/>
    <s v="Non-College"/>
    <s v="Employed"/>
  </r>
  <r>
    <x v="37"/>
    <x v="0"/>
    <s v="Non-College"/>
    <s v="Employed"/>
  </r>
  <r>
    <x v="37"/>
    <x v="0"/>
    <s v="Non-College"/>
    <s v="Employed"/>
  </r>
  <r>
    <x v="38"/>
    <x v="0"/>
    <s v="Non-College"/>
    <s v="Employed"/>
  </r>
  <r>
    <x v="39"/>
    <x v="1"/>
    <s v="Non-College"/>
    <s v="Employed"/>
  </r>
  <r>
    <x v="34"/>
    <x v="0"/>
    <s v="College"/>
    <s v="Employed"/>
  </r>
  <r>
    <x v="40"/>
    <x v="0"/>
    <s v="Non-College"/>
    <s v="Employed"/>
  </r>
  <r>
    <x v="41"/>
    <x v="3"/>
    <s v="College"/>
    <s v="Employed"/>
  </r>
  <r>
    <x v="42"/>
    <x v="3"/>
    <s v="College"/>
    <s v="Employed"/>
  </r>
  <r>
    <x v="29"/>
    <x v="0"/>
    <s v="Non-College"/>
    <s v="Employed"/>
  </r>
  <r>
    <x v="43"/>
    <x v="0"/>
    <s v="College"/>
    <s v="Employed"/>
  </r>
  <r>
    <x v="44"/>
    <x v="3"/>
    <s v="College"/>
    <s v="Employed"/>
  </r>
  <r>
    <x v="45"/>
    <x v="1"/>
    <s v="Non-College"/>
    <s v="Employed"/>
  </r>
  <r>
    <x v="46"/>
    <x v="2"/>
    <s v="College"/>
    <s v="Employed"/>
  </r>
  <r>
    <x v="47"/>
    <x v="0"/>
    <s v="College"/>
    <s v="Employed"/>
  </r>
  <r>
    <x v="48"/>
    <x v="0"/>
    <s v="Non-College"/>
    <s v="Employed"/>
  </r>
  <r>
    <x v="49"/>
    <x v="0"/>
    <s v="Non-College"/>
    <s v="Employed"/>
  </r>
  <r>
    <x v="50"/>
    <x v="0"/>
    <s v="Non-College"/>
    <s v="Employed"/>
  </r>
  <r>
    <x v="31"/>
    <x v="0"/>
    <s v="College"/>
    <s v="Employed"/>
  </r>
  <r>
    <x v="51"/>
    <x v="0"/>
    <s v="Non-College"/>
    <s v="Employed"/>
  </r>
  <r>
    <x v="39"/>
    <x v="1"/>
    <s v="College"/>
    <s v="Employed"/>
  </r>
  <r>
    <x v="48"/>
    <x v="0"/>
    <s v="College"/>
    <s v="Employed"/>
  </r>
  <r>
    <x v="24"/>
    <x v="0"/>
    <s v="College"/>
    <s v="Employed"/>
  </r>
  <r>
    <x v="0"/>
    <x v="0"/>
    <s v="Non-College"/>
    <s v="Employed"/>
  </r>
  <r>
    <x v="24"/>
    <x v="0"/>
    <s v="College"/>
    <s v="Employed"/>
  </r>
  <r>
    <x v="52"/>
    <x v="1"/>
    <s v="College"/>
    <s v="Employed"/>
  </r>
  <r>
    <x v="49"/>
    <x v="0"/>
    <s v="College"/>
    <s v="Employed"/>
  </r>
  <r>
    <x v="53"/>
    <x v="0"/>
    <s v="College"/>
    <s v="Employed"/>
  </r>
  <r>
    <x v="54"/>
    <x v="1"/>
    <s v="Non-College"/>
    <s v="Employed"/>
  </r>
  <r>
    <x v="26"/>
    <x v="0"/>
    <s v="Non-College"/>
    <s v="Employed"/>
  </r>
  <r>
    <x v="18"/>
    <x v="0"/>
    <s v="Non-College"/>
    <s v="Employed"/>
  </r>
  <r>
    <x v="55"/>
    <x v="1"/>
    <s v="College"/>
    <s v="Employed"/>
  </r>
  <r>
    <x v="56"/>
    <x v="4"/>
    <s v="College"/>
    <s v="Employed"/>
  </r>
  <r>
    <x v="12"/>
    <x v="1"/>
    <s v="Non-College"/>
    <s v="Employed"/>
  </r>
  <r>
    <x v="39"/>
    <x v="1"/>
    <s v="Non-College"/>
    <s v="Employed"/>
  </r>
  <r>
    <x v="18"/>
    <x v="0"/>
    <s v="Non-College"/>
    <s v="Employed"/>
  </r>
  <r>
    <x v="57"/>
    <x v="0"/>
    <s v="College"/>
    <s v="Employed"/>
  </r>
  <r>
    <x v="34"/>
    <x v="0"/>
    <s v="College"/>
    <s v="Employed"/>
  </r>
  <r>
    <x v="58"/>
    <x v="0"/>
    <s v="Non-College"/>
    <s v="Employed"/>
  </r>
  <r>
    <x v="59"/>
    <x v="1"/>
    <s v="College"/>
    <s v="Employed"/>
  </r>
  <r>
    <x v="60"/>
    <x v="0"/>
    <s v="Non-College"/>
    <s v="Employed"/>
  </r>
  <r>
    <x v="61"/>
    <x v="1"/>
    <s v="Non-College"/>
    <s v="Employed"/>
  </r>
  <r>
    <x v="62"/>
    <x v="1"/>
    <s v="College"/>
    <s v="Employed"/>
  </r>
  <r>
    <x v="63"/>
    <x v="1"/>
    <s v="Non-College"/>
    <s v="Employed"/>
  </r>
  <r>
    <x v="8"/>
    <x v="0"/>
    <s v="Non-College"/>
    <s v="Employed"/>
  </r>
  <r>
    <x v="64"/>
    <x v="3"/>
    <s v="College"/>
    <s v="Employed"/>
  </r>
  <r>
    <x v="65"/>
    <x v="3"/>
    <s v="College"/>
    <s v="Employed"/>
  </r>
  <r>
    <x v="63"/>
    <x v="1"/>
    <s v="College"/>
    <s v="Unemployed"/>
  </r>
  <r>
    <x v="34"/>
    <x v="0"/>
    <s v="College"/>
    <s v="Employed"/>
  </r>
  <r>
    <x v="0"/>
    <x v="0"/>
    <s v="Non-College"/>
    <s v="Employed"/>
  </r>
  <r>
    <x v="66"/>
    <x v="2"/>
    <s v="College"/>
    <s v="Employed"/>
  </r>
  <r>
    <x v="67"/>
    <x v="1"/>
    <s v="College"/>
    <s v="Employed"/>
  </r>
  <r>
    <x v="68"/>
    <x v="0"/>
    <s v="Non-College"/>
    <s v="Employed"/>
  </r>
  <r>
    <x v="69"/>
    <x v="0"/>
    <s v="College"/>
    <s v="Employed"/>
  </r>
  <r>
    <x v="21"/>
    <x v="1"/>
    <s v="Non-College"/>
    <s v="Employed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20250204494400"/>
    <n v="40"/>
    <n v="35000"/>
    <x v="0"/>
    <x v="0"/>
    <s v="Employed"/>
  </r>
  <r>
    <n v="20250101538800"/>
    <n v="40"/>
    <n v="42000"/>
    <x v="0"/>
    <x v="0"/>
    <s v="Employed"/>
  </r>
  <r>
    <n v="20250103144000"/>
    <n v="35"/>
    <n v="15626"/>
    <x v="0"/>
    <x v="0"/>
    <s v="Employed"/>
  </r>
  <r>
    <n v="20241203933500"/>
    <n v="20"/>
    <n v="24300"/>
    <x v="0"/>
    <x v="1"/>
    <s v="Employed"/>
  </r>
  <r>
    <n v="20250105815500"/>
    <n v="12"/>
    <n v="1500"/>
    <x v="0"/>
    <x v="1"/>
    <s v="Employed"/>
  </r>
  <r>
    <n v="20241206225400"/>
    <n v="40"/>
    <n v="96000"/>
    <x v="1"/>
    <x v="0"/>
    <s v="Employed"/>
  </r>
  <r>
    <n v="20240300558600"/>
    <n v="40"/>
    <n v="200000"/>
    <x v="2"/>
    <x v="1"/>
    <s v="Employed"/>
  </r>
  <r>
    <n v="20240300143200"/>
    <n v="40"/>
    <n v="80000"/>
    <x v="1"/>
    <x v="1"/>
    <s v="Employed"/>
  </r>
  <r>
    <n v="20251302329900"/>
    <n v="40"/>
    <n v="25000"/>
    <x v="0"/>
    <x v="0"/>
    <s v="Employed"/>
  </r>
  <r>
    <n v="20240300591600"/>
    <n v="40"/>
    <n v="45000"/>
    <x v="0"/>
    <x v="0"/>
    <s v="Employed"/>
  </r>
  <r>
    <n v="20251300777300"/>
    <n v="40"/>
    <n v="25000"/>
    <x v="0"/>
    <x v="0"/>
    <s v="Employed"/>
  </r>
  <r>
    <n v="20250103661700"/>
    <n v="40"/>
    <n v="43000"/>
    <x v="0"/>
    <x v="0"/>
    <s v="Employed"/>
  </r>
  <r>
    <n v="20240100085800"/>
    <n v="30"/>
    <n v="4500"/>
    <x v="0"/>
    <x v="0"/>
    <s v="Employed"/>
  </r>
  <r>
    <n v="20240100195000"/>
    <n v="40"/>
    <n v="60000"/>
    <x v="1"/>
    <x v="1"/>
    <s v="Employed"/>
  </r>
  <r>
    <n v="20250105049400"/>
    <n v="38"/>
    <n v="43500"/>
    <x v="0"/>
    <x v="0"/>
    <s v="Employed"/>
  </r>
  <r>
    <n v="20251308468200"/>
    <n v="40"/>
    <n v="60000"/>
    <x v="1"/>
    <x v="0"/>
    <s v="Employed"/>
  </r>
  <r>
    <n v="20250306446600"/>
    <n v="49"/>
    <n v="65000"/>
    <x v="1"/>
    <x v="0"/>
    <s v="Employed"/>
  </r>
  <r>
    <n v="20251307273000"/>
    <n v="40"/>
    <n v="53000"/>
    <x v="0"/>
    <x v="0"/>
    <s v="Employed"/>
  </r>
  <r>
    <n v="20250106534100"/>
    <n v="40"/>
    <n v="125000"/>
    <x v="3"/>
    <x v="1"/>
    <s v="Employed"/>
  </r>
  <r>
    <n v="20240100081300"/>
    <n v="40"/>
    <n v="150000"/>
    <x v="3"/>
    <x v="1"/>
    <s v="Employed"/>
  </r>
  <r>
    <n v="20241201920400"/>
    <n v="40"/>
    <n v="40000"/>
    <x v="0"/>
    <x v="0"/>
    <s v="Employed"/>
  </r>
  <r>
    <n v="20250205471300"/>
    <n v="40"/>
    <n v="44256"/>
    <x v="0"/>
    <x v="1"/>
    <s v="Employed"/>
  </r>
  <r>
    <n v="20240100851600"/>
    <n v="60"/>
    <n v="40000"/>
    <x v="0"/>
    <x v="0"/>
    <s v="Employed"/>
  </r>
  <r>
    <n v="20241301363900"/>
    <n v="0"/>
    <n v="0"/>
    <x v="0"/>
    <x v="0"/>
    <s v="Unemployed"/>
  </r>
  <r>
    <n v="20251300784100"/>
    <n v="40"/>
    <n v="70000"/>
    <x v="1"/>
    <x v="0"/>
    <s v="Employed"/>
  </r>
  <r>
    <n v="20250305961700"/>
    <n v="40"/>
    <n v="160000"/>
    <x v="3"/>
    <x v="1"/>
    <s v="Employed"/>
  </r>
  <r>
    <n v="20250202016300"/>
    <n v="0"/>
    <n v="16000"/>
    <x v="0"/>
    <x v="0"/>
    <s v="Unemployed"/>
  </r>
  <r>
    <n v="20241300664500"/>
    <n v="0"/>
    <n v="4000"/>
    <x v="0"/>
    <x v="0"/>
    <s v="Unemployed"/>
  </r>
  <r>
    <n v="20250100991500"/>
    <n v="40"/>
    <n v="43500"/>
    <x v="0"/>
    <x v="0"/>
    <s v="Employed"/>
  </r>
  <r>
    <n v="20250200863800"/>
    <n v="55"/>
    <n v="108000"/>
    <x v="1"/>
    <x v="1"/>
    <s v="Employed"/>
  </r>
  <r>
    <n v="20240100597000"/>
    <n v="40"/>
    <n v="38000"/>
    <x v="0"/>
    <x v="0"/>
    <s v="Employed"/>
  </r>
  <r>
    <n v="20241302497800"/>
    <n v="40"/>
    <n v="42120"/>
    <x v="0"/>
    <x v="0"/>
    <s v="Employed"/>
  </r>
  <r>
    <n v="20250206071500"/>
    <n v="40"/>
    <n v="42000"/>
    <x v="0"/>
    <x v="0"/>
    <s v="Employed"/>
  </r>
  <r>
    <n v="20250105251200"/>
    <n v="45"/>
    <n v="220000"/>
    <x v="2"/>
    <x v="1"/>
    <s v="Employed"/>
  </r>
  <r>
    <n v="20251303188200"/>
    <n v="40"/>
    <n v="10000"/>
    <x v="0"/>
    <x v="0"/>
    <s v="Employed"/>
  </r>
  <r>
    <n v="20241205823200"/>
    <n v="40"/>
    <n v="16688"/>
    <x v="0"/>
    <x v="0"/>
    <s v="Employed"/>
  </r>
  <r>
    <n v="20241205943100"/>
    <n v="40"/>
    <n v="53000"/>
    <x v="0"/>
    <x v="0"/>
    <s v="Employed"/>
  </r>
  <r>
    <n v="20251305399500"/>
    <n v="0"/>
    <n v="3000"/>
    <x v="0"/>
    <x v="0"/>
    <s v="Employed"/>
  </r>
  <r>
    <n v="20251308525300"/>
    <n v="40"/>
    <n v="28000"/>
    <x v="0"/>
    <x v="0"/>
    <s v="Employed"/>
  </r>
  <r>
    <n v="20250304997600"/>
    <n v="40"/>
    <n v="60000"/>
    <x v="1"/>
    <x v="1"/>
    <s v="Employed"/>
  </r>
  <r>
    <n v="20251306816100"/>
    <n v="40"/>
    <n v="35000"/>
    <x v="0"/>
    <x v="0"/>
    <s v="Employed"/>
  </r>
  <r>
    <n v="20250204768800"/>
    <n v="25"/>
    <n v="17000"/>
    <x v="0"/>
    <x v="0"/>
    <s v="Employed"/>
  </r>
  <r>
    <n v="20251304636900"/>
    <n v="40"/>
    <n v="50000"/>
    <x v="0"/>
    <x v="0"/>
    <s v="Employed"/>
  </r>
  <r>
    <n v="20241202411400"/>
    <n v="40"/>
    <n v="45000"/>
    <x v="0"/>
    <x v="0"/>
    <s v="Employed"/>
  </r>
  <r>
    <n v="20231200039800"/>
    <n v="40"/>
    <n v="59000"/>
    <x v="0"/>
    <x v="0"/>
    <s v="Employed"/>
  </r>
  <r>
    <n v="20251308172000"/>
    <n v="30"/>
    <n v="13000"/>
    <x v="0"/>
    <x v="0"/>
    <s v="Employed"/>
  </r>
  <r>
    <n v="20231200443700"/>
    <n v="40"/>
    <n v="52000"/>
    <x v="0"/>
    <x v="0"/>
    <s v="Employed"/>
  </r>
  <r>
    <n v="20250101623000"/>
    <n v="40"/>
    <n v="52000"/>
    <x v="0"/>
    <x v="0"/>
    <s v="Employed"/>
  </r>
  <r>
    <n v="20250102597600"/>
    <n v="15"/>
    <n v="10150"/>
    <x v="0"/>
    <x v="0"/>
    <s v="Employed"/>
  </r>
  <r>
    <n v="20240300215500"/>
    <n v="65"/>
    <n v="90000"/>
    <x v="1"/>
    <x v="0"/>
    <s v="Employed"/>
  </r>
  <r>
    <n v="20251304959300"/>
    <n v="40"/>
    <n v="50000"/>
    <x v="0"/>
    <x v="1"/>
    <s v="Employed"/>
  </r>
  <r>
    <n v="20240300233600"/>
    <n v="20"/>
    <n v="12000"/>
    <x v="0"/>
    <x v="0"/>
    <s v="Employed"/>
  </r>
  <r>
    <n v="20240200104600"/>
    <n v="40"/>
    <n v="148000"/>
    <x v="3"/>
    <x v="1"/>
    <s v="Employed"/>
  </r>
  <r>
    <n v="20231200068900"/>
    <n v="40"/>
    <n v="165000"/>
    <x v="3"/>
    <x v="1"/>
    <s v="Employed"/>
  </r>
  <r>
    <n v="20250306715100"/>
    <n v="40"/>
    <n v="10000"/>
    <x v="0"/>
    <x v="0"/>
    <s v="Employed"/>
  </r>
  <r>
    <n v="20251302066000"/>
    <n v="40"/>
    <n v="57000"/>
    <x v="0"/>
    <x v="1"/>
    <s v="Employed"/>
  </r>
  <r>
    <n v="20241307906200"/>
    <n v="48"/>
    <n v="166000"/>
    <x v="3"/>
    <x v="1"/>
    <s v="Employed"/>
  </r>
  <r>
    <n v="20251300677800"/>
    <n v="40"/>
    <n v="115000"/>
    <x v="1"/>
    <x v="0"/>
    <s v="Employed"/>
  </r>
  <r>
    <n v="20250105348600"/>
    <n v="40"/>
    <n v="190000"/>
    <x v="2"/>
    <x v="1"/>
    <s v="Employed"/>
  </r>
  <r>
    <n v="20241205977700"/>
    <n v="40"/>
    <n v="48000"/>
    <x v="0"/>
    <x v="1"/>
    <s v="Employed"/>
  </r>
  <r>
    <n v="20250103164500"/>
    <n v="40"/>
    <n v="55000"/>
    <x v="0"/>
    <x v="0"/>
    <s v="Employed"/>
  </r>
  <r>
    <n v="20241306318100"/>
    <n v="40"/>
    <n v="20000"/>
    <x v="0"/>
    <x v="0"/>
    <s v="Employed"/>
  </r>
  <r>
    <n v="20241304355200"/>
    <n v="40"/>
    <n v="37440"/>
    <x v="0"/>
    <x v="0"/>
    <s v="Employed"/>
  </r>
  <r>
    <n v="20240300407400"/>
    <n v="1"/>
    <n v="3000"/>
    <x v="0"/>
    <x v="1"/>
    <s v="Employed"/>
  </r>
  <r>
    <n v="20241200152600"/>
    <n v="40"/>
    <n v="18000"/>
    <x v="0"/>
    <x v="0"/>
    <s v="Employed"/>
  </r>
  <r>
    <n v="20241308354400"/>
    <n v="24"/>
    <n v="90000"/>
    <x v="1"/>
    <x v="1"/>
    <s v="Employed"/>
  </r>
  <r>
    <n v="20250202642800"/>
    <n v="40"/>
    <n v="55000"/>
    <x v="0"/>
    <x v="1"/>
    <s v="Employed"/>
  </r>
  <r>
    <n v="20250300139600"/>
    <n v="20"/>
    <n v="4000"/>
    <x v="0"/>
    <x v="1"/>
    <s v="Employed"/>
  </r>
  <r>
    <n v="20250203528600"/>
    <n v="50"/>
    <n v="35000"/>
    <x v="0"/>
    <x v="0"/>
    <s v="Employed"/>
  </r>
  <r>
    <n v="20251304798600"/>
    <n v="40"/>
    <n v="4000"/>
    <x v="0"/>
    <x v="1"/>
    <s v="Employed"/>
  </r>
  <r>
    <n v="20251307406000"/>
    <n v="40"/>
    <n v="101000"/>
    <x v="1"/>
    <x v="1"/>
    <s v="Employed"/>
  </r>
  <r>
    <n v="20251304671100"/>
    <n v="20"/>
    <n v="20000"/>
    <x v="0"/>
    <x v="1"/>
    <s v="Employed"/>
  </r>
  <r>
    <n v="20241200576000"/>
    <n v="40"/>
    <n v="58000"/>
    <x v="0"/>
    <x v="1"/>
    <s v="Employed"/>
  </r>
  <r>
    <n v="20251307014200"/>
    <n v="40"/>
    <n v="88000"/>
    <x v="1"/>
    <x v="0"/>
    <s v="Employed"/>
  </r>
  <r>
    <n v="20251300743500"/>
    <n v="40"/>
    <n v="38000"/>
    <x v="0"/>
    <x v="0"/>
    <s v="Employed"/>
  </r>
  <r>
    <n v="20251307804700"/>
    <n v="40"/>
    <n v="40000"/>
    <x v="0"/>
    <x v="0"/>
    <s v="Employed"/>
  </r>
  <r>
    <n v="20250305533300"/>
    <n v="40"/>
    <n v="110000"/>
    <x v="1"/>
    <x v="1"/>
    <s v="Employed"/>
  </r>
  <r>
    <n v="20251306402900"/>
    <n v="40"/>
    <n v="350000"/>
    <x v="4"/>
    <x v="1"/>
    <s v="Employed"/>
  </r>
  <r>
    <n v="20250101070500"/>
    <n v="60"/>
    <n v="60000"/>
    <x v="1"/>
    <x v="0"/>
    <s v="Employed"/>
  </r>
  <r>
    <n v="20231200329500"/>
    <n v="50"/>
    <n v="90000"/>
    <x v="1"/>
    <x v="0"/>
    <s v="Employed"/>
  </r>
  <r>
    <n v="20241304607000"/>
    <n v="40"/>
    <n v="40000"/>
    <x v="0"/>
    <x v="0"/>
    <s v="Employed"/>
  </r>
  <r>
    <n v="20241204927700"/>
    <n v="20"/>
    <n v="32000"/>
    <x v="0"/>
    <x v="1"/>
    <s v="Employed"/>
  </r>
  <r>
    <n v="20240300136100"/>
    <n v="80"/>
    <n v="50000"/>
    <x v="0"/>
    <x v="1"/>
    <s v="Employed"/>
  </r>
  <r>
    <n v="20250300796500"/>
    <n v="12"/>
    <n v="15000"/>
    <x v="0"/>
    <x v="0"/>
    <s v="Employed"/>
  </r>
  <r>
    <n v="20241202173300"/>
    <n v="40"/>
    <n v="66767"/>
    <x v="1"/>
    <x v="1"/>
    <s v="Employed"/>
  </r>
  <r>
    <n v="20250301173100"/>
    <n v="35"/>
    <n v="8566"/>
    <x v="0"/>
    <x v="0"/>
    <s v="Employed"/>
  </r>
  <r>
    <n v="20241302372000"/>
    <n v="90"/>
    <n v="98000"/>
    <x v="1"/>
    <x v="0"/>
    <s v="Employed"/>
  </r>
  <r>
    <n v="20240200193400"/>
    <n v="40"/>
    <n v="75000"/>
    <x v="1"/>
    <x v="1"/>
    <s v="Employed"/>
  </r>
  <r>
    <n v="20241302321300"/>
    <n v="40"/>
    <n v="100000"/>
    <x v="1"/>
    <x v="0"/>
    <s v="Employed"/>
  </r>
  <r>
    <n v="20251307184600"/>
    <n v="32"/>
    <n v="25000"/>
    <x v="0"/>
    <x v="0"/>
    <s v="Employed"/>
  </r>
  <r>
    <n v="20240200558300"/>
    <n v="40"/>
    <n v="138000"/>
    <x v="3"/>
    <x v="1"/>
    <s v="Employed"/>
  </r>
  <r>
    <n v="20251302007400"/>
    <n v="40"/>
    <n v="126090"/>
    <x v="3"/>
    <x v="1"/>
    <s v="Employed"/>
  </r>
  <r>
    <n v="20251301097200"/>
    <n v="0"/>
    <n v="100000"/>
    <x v="1"/>
    <x v="1"/>
    <s v="Unemployed"/>
  </r>
  <r>
    <n v="20240100207800"/>
    <n v="40"/>
    <n v="50000"/>
    <x v="0"/>
    <x v="1"/>
    <s v="Employed"/>
  </r>
  <r>
    <n v="20240300273800"/>
    <n v="36"/>
    <n v="35000"/>
    <x v="0"/>
    <x v="0"/>
    <s v="Employed"/>
  </r>
  <r>
    <n v="20250103038100"/>
    <n v="50"/>
    <n v="188000"/>
    <x v="2"/>
    <x v="1"/>
    <s v="Employed"/>
  </r>
  <r>
    <n v="20241300726000"/>
    <n v="36"/>
    <n v="82000"/>
    <x v="1"/>
    <x v="1"/>
    <s v="Employed"/>
  </r>
  <r>
    <n v="20250103333000"/>
    <n v="40"/>
    <n v="27000"/>
    <x v="0"/>
    <x v="0"/>
    <s v="Employed"/>
  </r>
  <r>
    <n v="20250300922400"/>
    <n v="40"/>
    <n v="19000"/>
    <x v="0"/>
    <x v="1"/>
    <s v="Employed"/>
  </r>
  <r>
    <n v="20251300501300"/>
    <n v="80"/>
    <n v="70000"/>
    <x v="1"/>
    <x v="0"/>
    <s v="Employ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61878C-B72F-084F-9FAE-869B624ED868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6" firstHeaderRow="1" firstDataRow="1" firstDataCol="1"/>
  <pivotFields count="5">
    <pivotField numFmtId="1" showAll="0"/>
    <pivotField showAll="0"/>
    <pivotField showAll="0"/>
    <pivotField showAll="0">
      <items count="3">
        <item x="1"/>
        <item x="0"/>
        <item t="default"/>
      </items>
    </pivotField>
    <pivotField axis="axisRow" dataField="1" showAll="0">
      <items count="3">
        <item x="0"/>
        <item x="1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Count of Employment Status" fld="4" subtotal="count" showDataAs="percentOfTotal" baseField="0" baseItem="0" numFmtId="9"/>
  </dataFields>
  <formats count="5">
    <format dxfId="9">
      <pivotArea dataOnly="0" labelOnly="1" fieldPosition="0">
        <references count="1">
          <reference field="4" count="1">
            <x v="0"/>
          </reference>
        </references>
      </pivotArea>
    </format>
    <format dxfId="8">
      <pivotArea outline="0" fieldPosition="0">
        <references count="1">
          <reference field="4294967294" count="1">
            <x v="0"/>
          </reference>
        </references>
      </pivotArea>
    </format>
    <format dxfId="7">
      <pivotArea collapsedLevelsAreSubtotals="1" fieldPosition="0">
        <references count="1">
          <reference field="4" count="1">
            <x v="0"/>
          </reference>
        </references>
      </pivotArea>
    </format>
    <format dxfId="6">
      <pivotArea collapsedLevelsAreSubtotals="1" fieldPosition="0">
        <references count="1">
          <reference field="4" count="1">
            <x v="1"/>
          </reference>
        </references>
      </pivotArea>
    </format>
    <format dxfId="5">
      <pivotArea grandRow="1" outline="0" collapsedLevelsAreSubtotals="1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854289-CBAE-1644-9565-00C95E4C2FB4}" name="PivotTable2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9" firstHeaderRow="1" firstDataRow="1" firstDataCol="1"/>
  <pivotFields count="4">
    <pivotField showAll="0"/>
    <pivotField axis="axisRow" dataField="1" showAll="0">
      <items count="6">
        <item x="0"/>
        <item x="1"/>
        <item x="3"/>
        <item x="2"/>
        <item x="4"/>
        <item t="default"/>
      </items>
    </pivotField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Income Class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7D3586-DF18-DE49-BCDF-841595029E1D}" name="PivotTable11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G7" firstHeaderRow="1" firstDataRow="2" firstDataCol="1"/>
  <pivotFields count="6">
    <pivotField numFmtId="1" showAll="0"/>
    <pivotField showAll="0"/>
    <pivotField showAll="0"/>
    <pivotField axis="axisCol" dataField="1" showAll="0">
      <items count="6">
        <item x="0"/>
        <item x="1"/>
        <item x="3"/>
        <item x="2"/>
        <item x="4"/>
        <item t="default"/>
      </items>
    </pivotField>
    <pivotField axis="axisRow" showAll="0">
      <items count="3">
        <item x="1"/>
        <item x="0"/>
        <item t="default"/>
      </items>
    </pivotField>
    <pivotField showAll="0"/>
  </pivotFields>
  <rowFields count="1">
    <field x="4"/>
  </rowFields>
  <rowItems count="3">
    <i>
      <x/>
    </i>
    <i>
      <x v="1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Income class" fld="3" subtotal="count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FFBDE0-61B1-E844-A3EB-F19327E2DB9C}" name="PivotTable13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G5" firstHeaderRow="1" firstDataRow="2" firstDataCol="1"/>
  <pivotFields count="6">
    <pivotField numFmtId="1" showAll="0"/>
    <pivotField showAll="0"/>
    <pivotField showAll="0"/>
    <pivotField axis="axisCol" dataField="1" showAll="0">
      <items count="6">
        <item x="0"/>
        <item x="1"/>
        <item x="3"/>
        <item x="2"/>
        <item x="4"/>
        <item t="default"/>
      </items>
    </pivotField>
    <pivotField axis="axisRow" showAll="0">
      <items count="3">
        <item x="1"/>
        <item x="0"/>
        <item t="default"/>
      </items>
    </pivotField>
    <pivotField showAll="0"/>
  </pivotFields>
  <rowFields count="1">
    <field x="4"/>
  </rowFields>
  <rowItems count="3">
    <i>
      <x/>
    </i>
    <i>
      <x v="1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Income class" fld="3" subtotal="count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94B414-1722-5F4E-9EA2-02449C2C946E}" name="PivotTable12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G6" firstHeaderRow="1" firstDataRow="2" firstDataCol="1"/>
  <pivotFields count="6">
    <pivotField numFmtId="1" showAll="0"/>
    <pivotField showAll="0"/>
    <pivotField showAll="0"/>
    <pivotField axis="axisCol" dataField="1" showAll="0">
      <items count="6">
        <item x="0"/>
        <item x="1"/>
        <item x="3"/>
        <item x="2"/>
        <item x="4"/>
        <item t="default"/>
      </items>
    </pivotField>
    <pivotField axis="axisRow" showAll="0">
      <items count="3">
        <item x="1"/>
        <item x="0"/>
        <item t="default"/>
      </items>
    </pivotField>
    <pivotField showAll="0"/>
  </pivotFields>
  <rowFields count="1">
    <field x="4"/>
  </rowFields>
  <rowItems count="3">
    <i>
      <x/>
    </i>
    <i>
      <x v="1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Income class" fld="3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EE14D9-68DE-0C43-A748-9D3BA1644B20}" name="Table1" displayName="Table1" ref="A1:F101" totalsRowShown="0" headerRowDxfId="13">
  <autoFilter ref="A1:F101" xr:uid="{86EE14D9-68DE-0C43-A748-9D3BA1644B20}"/>
  <tableColumns count="6">
    <tableColumn id="1" xr3:uid="{1ECB26E3-693E-BB46-BA73-2810EE013F78}" name="cpsid" dataDxfId="12"/>
    <tableColumn id="2" xr3:uid="{52E4B614-C184-684E-B6B9-A3921CFFC627}" name="Weekly Hours Worked"/>
    <tableColumn id="3" xr3:uid="{C56545E3-34D9-CD44-9BE8-F5A607AF79DD}" name="Annual Labor Income"/>
    <tableColumn id="4" xr3:uid="{AB2C01AE-C578-7345-8E86-7272D8A72187}" name="Income class">
      <calculatedColumnFormula>IF(C2&lt;=59999,"0-59999",
IF(C2&lt;=119999,"60000-119999",
IF(C2&lt;=179999,"120000-179999",
IF(C2&lt;=239999,"180000-239999",
"300000-359999"))))</calculatedColumnFormula>
    </tableColumn>
    <tableColumn id="5" xr3:uid="{C5AC7A63-137E-A04F-A609-CE6E934A8614}" name="Education Level" dataDxfId="11"/>
    <tableColumn id="6" xr3:uid="{B37FE67F-117F-8946-BB67-04F529D3652A}" name="Employment Status" dataDxfId="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5900FC-C81E-574D-89D0-7DD9F3AFDF15}" name="Table3" displayName="Table3" ref="A1:B6" totalsRowShown="0" headerRowDxfId="4" tableBorderDxfId="3">
  <autoFilter ref="A1:B6" xr:uid="{BF5900FC-C81E-574D-89D0-7DD9F3AFDF15}"/>
  <tableColumns count="2">
    <tableColumn id="1" xr3:uid="{A292143E-5A5D-B546-8B9A-8A2D8E0909E1}" name="Annual Labor income      -"/>
    <tableColumn id="2" xr3:uid="{573E101D-BC01-4B40-9967-F55797919CDD}" name="Cnumercal Measure 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16518ED-1388-4142-BB6C-FAAFA40B0715}" name="Table4" displayName="Table4" ref="A11:B20" totalsRowShown="0">
  <autoFilter ref="A11:B20" xr:uid="{916518ED-1388-4142-BB6C-FAAFA40B0715}"/>
  <tableColumns count="2">
    <tableColumn id="1" xr3:uid="{8B29EFFB-7690-B547-BAAD-CBDA11F0CBA8}" name="Weekly Hours Worked                                -  " dataDxfId="2"/>
    <tableColumn id="2" xr3:uid="{00C39043-A929-124B-B71E-57C43AF63801}" name="Numerical Measures "/>
  </tableColumns>
  <tableStyleInfo name="TableStyleLight1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B9931CB-5A0F-A340-8E46-BCF5DD7CC5B6}" name="Table8" displayName="Table8" ref="A24:B26" totalsRowShown="0" headerRowDxfId="1">
  <autoFilter ref="A24:B26" xr:uid="{EB9931CB-5A0F-A340-8E46-BCF5DD7CC5B6}"/>
  <tableColumns count="2">
    <tableColumn id="1" xr3:uid="{232F7CBE-F57D-4248-A14A-155AD357CC38}" name="Measure" dataDxfId="0"/>
    <tableColumn id="2" xr3:uid="{AEAE600F-226B-9448-A835-5FD1CA824E03}" name="Value ">
      <calculatedColumnFormula>CORREL('Raw Data'!B1:B100,'Raw Data'!C1:C100)</calculatedColumnFormula>
    </tableColumn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DDE1E-C69B-A244-983C-24368DDC330B}">
  <dimension ref="A3:B18"/>
  <sheetViews>
    <sheetView topLeftCell="A3" zoomScale="132" zoomScaleNormal="132" workbookViewId="0">
      <selection activeCell="G15" sqref="G15"/>
    </sheetView>
  </sheetViews>
  <sheetFormatPr baseColWidth="10" defaultRowHeight="15" x14ac:dyDescent="0.2"/>
  <cols>
    <col min="1" max="1" width="12.1640625" bestFit="1" customWidth="1"/>
    <col min="2" max="2" width="23.33203125" bestFit="1" customWidth="1"/>
  </cols>
  <sheetData>
    <row r="3" spans="1:2" x14ac:dyDescent="0.2">
      <c r="A3" s="3" t="s">
        <v>10</v>
      </c>
      <c r="B3" t="s">
        <v>12</v>
      </c>
    </row>
    <row r="4" spans="1:2" x14ac:dyDescent="0.2">
      <c r="A4" s="5" t="s">
        <v>3</v>
      </c>
      <c r="B4" s="6">
        <v>0.96</v>
      </c>
    </row>
    <row r="5" spans="1:2" x14ac:dyDescent="0.2">
      <c r="A5" s="4" t="s">
        <v>4</v>
      </c>
      <c r="B5" s="6">
        <v>0.04</v>
      </c>
    </row>
    <row r="6" spans="1:2" x14ac:dyDescent="0.2">
      <c r="A6" s="4" t="s">
        <v>11</v>
      </c>
      <c r="B6" s="6">
        <v>1</v>
      </c>
    </row>
    <row r="18" ht="11" customHeight="1" x14ac:dyDescent="0.2"/>
  </sheetData>
  <pageMargins left="0.7" right="0.7" top="0.75" bottom="0.75" header="0.3" footer="0.3"/>
  <pageSetup orientation="portrait" horizontalDpi="0" verticalDpi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F6A36-A550-7141-B4C7-3B6B98AA418E}">
  <dimension ref="A3:D9"/>
  <sheetViews>
    <sheetView workbookViewId="0">
      <selection activeCell="E29" sqref="E29"/>
    </sheetView>
  </sheetViews>
  <sheetFormatPr baseColWidth="10" defaultRowHeight="15" x14ac:dyDescent="0.2"/>
  <cols>
    <col min="1" max="1" width="13.6640625" bestFit="1" customWidth="1"/>
    <col min="2" max="2" width="18" bestFit="1" customWidth="1"/>
  </cols>
  <sheetData>
    <row r="3" spans="1:4" x14ac:dyDescent="0.2">
      <c r="A3" s="3" t="s">
        <v>10</v>
      </c>
      <c r="B3" t="s">
        <v>18</v>
      </c>
    </row>
    <row r="4" spans="1:4" x14ac:dyDescent="0.2">
      <c r="A4" s="4" t="s">
        <v>13</v>
      </c>
      <c r="B4">
        <v>64</v>
      </c>
      <c r="C4">
        <f>GETPIVOTDATA("Income Class",$A$3,"Income Class","0-59999")</f>
        <v>64</v>
      </c>
      <c r="D4" s="7">
        <f>C4/100</f>
        <v>0.64</v>
      </c>
    </row>
    <row r="5" spans="1:4" x14ac:dyDescent="0.2">
      <c r="A5" s="4" t="s">
        <v>17</v>
      </c>
      <c r="B5">
        <v>23</v>
      </c>
      <c r="C5">
        <f>C4+GETPIVOTDATA("Income Class",$A$3,"Income Class","60000-119999")</f>
        <v>87</v>
      </c>
      <c r="D5" s="7">
        <f t="shared" ref="D5:D8" si="0">C5/100</f>
        <v>0.87</v>
      </c>
    </row>
    <row r="6" spans="1:4" x14ac:dyDescent="0.2">
      <c r="A6" s="4" t="s">
        <v>14</v>
      </c>
      <c r="B6">
        <v>8</v>
      </c>
      <c r="C6">
        <f>C5+GETPIVOTDATA("Income Class",$A$3,"Income Class","120000-179999")</f>
        <v>95</v>
      </c>
      <c r="D6" s="7">
        <f t="shared" si="0"/>
        <v>0.95</v>
      </c>
    </row>
    <row r="7" spans="1:4" x14ac:dyDescent="0.2">
      <c r="A7" s="4" t="s">
        <v>15</v>
      </c>
      <c r="B7">
        <v>4</v>
      </c>
      <c r="C7">
        <f>C6+GETPIVOTDATA("Income Class",$A$3,"Income Class","180000-239999")</f>
        <v>99</v>
      </c>
      <c r="D7" s="7">
        <f t="shared" si="0"/>
        <v>0.99</v>
      </c>
    </row>
    <row r="8" spans="1:4" x14ac:dyDescent="0.2">
      <c r="A8" s="4" t="s">
        <v>16</v>
      </c>
      <c r="B8">
        <v>1</v>
      </c>
      <c r="C8">
        <f>C7+GETPIVOTDATA("Income Class",$A$3,"Income Class","300000-359999")</f>
        <v>100</v>
      </c>
      <c r="D8" s="7">
        <f t="shared" si="0"/>
        <v>1</v>
      </c>
    </row>
    <row r="9" spans="1:4" x14ac:dyDescent="0.2">
      <c r="A9" s="4" t="s">
        <v>11</v>
      </c>
      <c r="B9">
        <v>100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16E27-B4A9-0A46-BE20-193D45060BA8}">
  <dimension ref="A3:G7"/>
  <sheetViews>
    <sheetView workbookViewId="0">
      <selection activeCell="G14" sqref="G14"/>
    </sheetView>
  </sheetViews>
  <sheetFormatPr baseColWidth="10" defaultRowHeight="15" x14ac:dyDescent="0.2"/>
  <cols>
    <col min="1" max="1" width="17.83203125" bestFit="1" customWidth="1"/>
    <col min="2" max="2" width="14.83203125" bestFit="1" customWidth="1"/>
    <col min="3" max="3" width="12.6640625" bestFit="1" customWidth="1"/>
    <col min="4" max="6" width="13.6640625" bestFit="1" customWidth="1"/>
    <col min="7" max="7" width="10" bestFit="1" customWidth="1"/>
  </cols>
  <sheetData>
    <row r="3" spans="1:7" x14ac:dyDescent="0.2">
      <c r="A3" s="3" t="s">
        <v>21</v>
      </c>
      <c r="B3" s="3" t="s">
        <v>20</v>
      </c>
    </row>
    <row r="4" spans="1:7" x14ac:dyDescent="0.2">
      <c r="A4" s="3" t="s">
        <v>10</v>
      </c>
      <c r="B4" t="s">
        <v>13</v>
      </c>
      <c r="C4" t="s">
        <v>17</v>
      </c>
      <c r="D4" t="s">
        <v>14</v>
      </c>
      <c r="E4" t="s">
        <v>15</v>
      </c>
      <c r="F4" t="s">
        <v>16</v>
      </c>
      <c r="G4" t="s">
        <v>11</v>
      </c>
    </row>
    <row r="5" spans="1:7" x14ac:dyDescent="0.2">
      <c r="A5" s="4" t="s">
        <v>2</v>
      </c>
      <c r="B5">
        <v>16</v>
      </c>
      <c r="C5">
        <v>11</v>
      </c>
      <c r="D5">
        <v>8</v>
      </c>
      <c r="E5">
        <v>4</v>
      </c>
      <c r="F5">
        <v>1</v>
      </c>
      <c r="G5">
        <v>40</v>
      </c>
    </row>
    <row r="6" spans="1:7" x14ac:dyDescent="0.2">
      <c r="A6" s="4" t="s">
        <v>1</v>
      </c>
      <c r="B6">
        <v>48</v>
      </c>
      <c r="C6">
        <v>12</v>
      </c>
      <c r="G6">
        <v>60</v>
      </c>
    </row>
    <row r="7" spans="1:7" x14ac:dyDescent="0.2">
      <c r="A7" s="4" t="s">
        <v>11</v>
      </c>
      <c r="B7">
        <v>64</v>
      </c>
      <c r="C7">
        <v>23</v>
      </c>
      <c r="D7">
        <v>8</v>
      </c>
      <c r="E7">
        <v>4</v>
      </c>
      <c r="F7">
        <v>1</v>
      </c>
      <c r="G7">
        <v>100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6C8F8-BDD7-A745-81B0-D454C488BE6E}">
  <dimension ref="A1:G5"/>
  <sheetViews>
    <sheetView workbookViewId="0">
      <selection activeCell="F10" sqref="F10"/>
    </sheetView>
  </sheetViews>
  <sheetFormatPr baseColWidth="10" defaultRowHeight="15" x14ac:dyDescent="0.2"/>
  <cols>
    <col min="1" max="1" width="17.83203125" bestFit="1" customWidth="1"/>
    <col min="2" max="2" width="14.83203125" bestFit="1" customWidth="1"/>
    <col min="3" max="3" width="12.6640625" bestFit="1" customWidth="1"/>
    <col min="4" max="6" width="13.6640625" bestFit="1" customWidth="1"/>
    <col min="7" max="7" width="10" bestFit="1" customWidth="1"/>
  </cols>
  <sheetData>
    <row r="1" spans="1:7" x14ac:dyDescent="0.2">
      <c r="A1" s="3" t="s">
        <v>21</v>
      </c>
      <c r="B1" s="3" t="s">
        <v>20</v>
      </c>
    </row>
    <row r="2" spans="1:7" x14ac:dyDescent="0.2">
      <c r="A2" s="3" t="s">
        <v>10</v>
      </c>
      <c r="B2" t="s">
        <v>13</v>
      </c>
      <c r="C2" t="s">
        <v>17</v>
      </c>
      <c r="D2" t="s">
        <v>14</v>
      </c>
      <c r="E2" t="s">
        <v>15</v>
      </c>
      <c r="F2" t="s">
        <v>16</v>
      </c>
      <c r="G2" t="s">
        <v>11</v>
      </c>
    </row>
    <row r="3" spans="1:7" x14ac:dyDescent="0.2">
      <c r="A3" s="4" t="s">
        <v>2</v>
      </c>
      <c r="B3" s="8">
        <v>0.25</v>
      </c>
      <c r="C3" s="8">
        <v>0.47826086956521741</v>
      </c>
      <c r="D3" s="8">
        <v>1</v>
      </c>
      <c r="E3" s="8">
        <v>1</v>
      </c>
      <c r="F3" s="8">
        <v>1</v>
      </c>
      <c r="G3" s="8">
        <v>0.4</v>
      </c>
    </row>
    <row r="4" spans="1:7" x14ac:dyDescent="0.2">
      <c r="A4" s="4" t="s">
        <v>1</v>
      </c>
      <c r="B4" s="8">
        <v>0.75</v>
      </c>
      <c r="C4" s="8">
        <v>0.52173913043478259</v>
      </c>
      <c r="D4" s="8">
        <v>0</v>
      </c>
      <c r="E4" s="8">
        <v>0</v>
      </c>
      <c r="F4" s="8">
        <v>0</v>
      </c>
      <c r="G4" s="8">
        <v>0.6</v>
      </c>
    </row>
    <row r="5" spans="1:7" x14ac:dyDescent="0.2">
      <c r="A5" s="4" t="s">
        <v>11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4534C-C8BB-F34D-B94E-2BEB9835FB83}">
  <dimension ref="A2:G6"/>
  <sheetViews>
    <sheetView workbookViewId="0">
      <selection activeCell="F3" sqref="F3:F6"/>
      <pivotSelection pane="bottomRight" showHeader="1" extendable="1" axis="axisCol" start="4" max="6" activeRow="2" activeCol="5" previousRow="2" previousCol="5" click="1" r:id="rId1">
        <pivotArea dataOnly="0" outline="0" fieldPosition="0">
          <references count="1">
            <reference field="3" count="1">
              <x v="4"/>
            </reference>
          </references>
        </pivotArea>
      </pivotSelection>
    </sheetView>
  </sheetViews>
  <sheetFormatPr baseColWidth="10" defaultRowHeight="15" x14ac:dyDescent="0.2"/>
  <cols>
    <col min="1" max="1" width="17.83203125" bestFit="1" customWidth="1"/>
    <col min="2" max="2" width="14.83203125" bestFit="1" customWidth="1"/>
    <col min="3" max="3" width="12.6640625" bestFit="1" customWidth="1"/>
    <col min="4" max="6" width="13.6640625" bestFit="1" customWidth="1"/>
    <col min="7" max="7" width="10" bestFit="1" customWidth="1"/>
  </cols>
  <sheetData>
    <row r="2" spans="1:7" x14ac:dyDescent="0.2">
      <c r="A2" s="3" t="s">
        <v>21</v>
      </c>
      <c r="B2" s="3" t="s">
        <v>20</v>
      </c>
    </row>
    <row r="3" spans="1:7" x14ac:dyDescent="0.2">
      <c r="A3" s="3" t="s">
        <v>10</v>
      </c>
      <c r="B3" t="s">
        <v>13</v>
      </c>
      <c r="C3" t="s">
        <v>17</v>
      </c>
      <c r="D3" t="s">
        <v>14</v>
      </c>
      <c r="E3" t="s">
        <v>15</v>
      </c>
      <c r="F3" t="s">
        <v>16</v>
      </c>
      <c r="G3" t="s">
        <v>11</v>
      </c>
    </row>
    <row r="4" spans="1:7" x14ac:dyDescent="0.2">
      <c r="A4" s="4" t="s">
        <v>2</v>
      </c>
      <c r="B4" s="8">
        <v>0.4</v>
      </c>
      <c r="C4" s="8">
        <v>0.27500000000000002</v>
      </c>
      <c r="D4" s="8">
        <v>0.2</v>
      </c>
      <c r="E4" s="8">
        <v>0.1</v>
      </c>
      <c r="F4" s="8">
        <v>2.5000000000000001E-2</v>
      </c>
      <c r="G4" s="8">
        <v>1</v>
      </c>
    </row>
    <row r="5" spans="1:7" x14ac:dyDescent="0.2">
      <c r="A5" s="4" t="s">
        <v>1</v>
      </c>
      <c r="B5" s="8">
        <v>0.8</v>
      </c>
      <c r="C5" s="8">
        <v>0.2</v>
      </c>
      <c r="D5" s="8">
        <v>0</v>
      </c>
      <c r="E5" s="8">
        <v>0</v>
      </c>
      <c r="F5" s="8">
        <v>0</v>
      </c>
      <c r="G5" s="8">
        <v>1</v>
      </c>
    </row>
    <row r="6" spans="1:7" x14ac:dyDescent="0.2">
      <c r="A6" s="4" t="s">
        <v>11</v>
      </c>
      <c r="B6" s="8">
        <v>0.64</v>
      </c>
      <c r="C6" s="8">
        <v>0.23</v>
      </c>
      <c r="D6" s="8">
        <v>0.08</v>
      </c>
      <c r="E6" s="8">
        <v>0.04</v>
      </c>
      <c r="F6" s="8">
        <v>0.01</v>
      </c>
      <c r="G6" s="8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topLeftCell="A66" workbookViewId="0">
      <selection activeCell="D67" sqref="D67"/>
    </sheetView>
  </sheetViews>
  <sheetFormatPr baseColWidth="10" defaultColWidth="8.83203125" defaultRowHeight="15" x14ac:dyDescent="0.2"/>
  <cols>
    <col min="1" max="1" width="23.33203125" customWidth="1"/>
    <col min="2" max="3" width="24.6640625" customWidth="1"/>
    <col min="4" max="4" width="32.33203125" customWidth="1"/>
    <col min="5" max="5" width="38.1640625" customWidth="1"/>
    <col min="6" max="6" width="19.1640625" customWidth="1"/>
    <col min="8" max="8" width="12" bestFit="1" customWidth="1"/>
    <col min="9" max="9" width="18.6640625" bestFit="1" customWidth="1"/>
  </cols>
  <sheetData>
    <row r="1" spans="1:6" x14ac:dyDescent="0.2">
      <c r="A1" t="s">
        <v>0</v>
      </c>
      <c r="B1" s="2" t="s">
        <v>8</v>
      </c>
      <c r="C1" s="2" t="s">
        <v>7</v>
      </c>
      <c r="D1" s="2" t="s">
        <v>19</v>
      </c>
      <c r="E1" s="2" t="s">
        <v>5</v>
      </c>
      <c r="F1" s="2" t="s">
        <v>6</v>
      </c>
    </row>
    <row r="2" spans="1:6" x14ac:dyDescent="0.2">
      <c r="A2" s="1">
        <v>20250204494400</v>
      </c>
      <c r="B2">
        <v>40</v>
      </c>
      <c r="C2">
        <v>35000</v>
      </c>
      <c r="D2" t="str">
        <f>IF(C2&lt;=59999,"0-59999",
IF(C2&lt;=119999,"60000-119999",
IF(C2&lt;=179999,"120000-179999",
IF(C2&lt;=239999,"180000-239999",
"300000-359999"))))</f>
        <v>0-59999</v>
      </c>
      <c r="E2" s="1" t="s">
        <v>1</v>
      </c>
      <c r="F2" s="1" t="s">
        <v>3</v>
      </c>
    </row>
    <row r="3" spans="1:6" x14ac:dyDescent="0.2">
      <c r="A3" s="1">
        <v>20250101538800</v>
      </c>
      <c r="B3">
        <v>40</v>
      </c>
      <c r="C3">
        <v>42000</v>
      </c>
      <c r="D3" t="str">
        <f t="shared" ref="D3:D66" si="0">IF(C3&lt;=59999,"0-59999",
IF(C3&lt;=119999,"60000-119999",
IF(C3&lt;=179999,"120000-179999",
IF(C3&lt;=239999,"180000-239999",
"300000-359999"))))</f>
        <v>0-59999</v>
      </c>
      <c r="E3" s="1" t="s">
        <v>1</v>
      </c>
      <c r="F3" s="1" t="s">
        <v>3</v>
      </c>
    </row>
    <row r="4" spans="1:6" x14ac:dyDescent="0.2">
      <c r="A4" s="1">
        <v>20250103144000</v>
      </c>
      <c r="B4">
        <v>35</v>
      </c>
      <c r="C4">
        <v>15626</v>
      </c>
      <c r="D4" t="str">
        <f t="shared" si="0"/>
        <v>0-59999</v>
      </c>
      <c r="E4" s="1" t="s">
        <v>1</v>
      </c>
      <c r="F4" s="1" t="s">
        <v>3</v>
      </c>
    </row>
    <row r="5" spans="1:6" x14ac:dyDescent="0.2">
      <c r="A5" s="1">
        <v>20241203933500</v>
      </c>
      <c r="B5">
        <v>20</v>
      </c>
      <c r="C5">
        <v>24300</v>
      </c>
      <c r="D5" t="str">
        <f t="shared" si="0"/>
        <v>0-59999</v>
      </c>
      <c r="E5" s="1" t="s">
        <v>2</v>
      </c>
      <c r="F5" s="1" t="s">
        <v>3</v>
      </c>
    </row>
    <row r="6" spans="1:6" x14ac:dyDescent="0.2">
      <c r="A6" s="1">
        <v>20250105815500</v>
      </c>
      <c r="B6">
        <v>12</v>
      </c>
      <c r="C6">
        <v>1500</v>
      </c>
      <c r="D6" t="str">
        <f>IF(C6&lt;=59999,"0-59999",
IF(C6&lt;=119999,"60000-119999",
IF(C6&lt;=179999,"120000-179999",
IF(C6&lt;=239999,"180000-239999",
"300000-359999"))))</f>
        <v>0-59999</v>
      </c>
      <c r="E6" s="1" t="s">
        <v>2</v>
      </c>
      <c r="F6" s="1" t="s">
        <v>3</v>
      </c>
    </row>
    <row r="7" spans="1:6" x14ac:dyDescent="0.2">
      <c r="A7" s="1">
        <v>20241206225400</v>
      </c>
      <c r="B7">
        <v>40</v>
      </c>
      <c r="C7">
        <v>96000</v>
      </c>
      <c r="D7" t="str">
        <f t="shared" si="0"/>
        <v>60000-119999</v>
      </c>
      <c r="E7" s="1" t="s">
        <v>1</v>
      </c>
      <c r="F7" s="1" t="s">
        <v>3</v>
      </c>
    </row>
    <row r="8" spans="1:6" x14ac:dyDescent="0.2">
      <c r="A8" s="1">
        <v>20240300558600</v>
      </c>
      <c r="B8">
        <v>40</v>
      </c>
      <c r="C8">
        <v>200000</v>
      </c>
      <c r="D8" t="str">
        <f t="shared" si="0"/>
        <v>180000-239999</v>
      </c>
      <c r="E8" s="1" t="s">
        <v>2</v>
      </c>
      <c r="F8" s="1" t="s">
        <v>3</v>
      </c>
    </row>
    <row r="9" spans="1:6" x14ac:dyDescent="0.2">
      <c r="A9" s="1">
        <v>20240300143200</v>
      </c>
      <c r="B9">
        <v>40</v>
      </c>
      <c r="C9">
        <v>80000</v>
      </c>
      <c r="D9" t="str">
        <f t="shared" si="0"/>
        <v>60000-119999</v>
      </c>
      <c r="E9" s="1" t="s">
        <v>2</v>
      </c>
      <c r="F9" s="1" t="s">
        <v>3</v>
      </c>
    </row>
    <row r="10" spans="1:6" x14ac:dyDescent="0.2">
      <c r="A10" s="1">
        <v>20251302329900</v>
      </c>
      <c r="B10">
        <v>40</v>
      </c>
      <c r="C10">
        <v>25000</v>
      </c>
      <c r="D10" t="str">
        <f t="shared" si="0"/>
        <v>0-59999</v>
      </c>
      <c r="E10" s="1" t="s">
        <v>1</v>
      </c>
      <c r="F10" s="1" t="s">
        <v>3</v>
      </c>
    </row>
    <row r="11" spans="1:6" x14ac:dyDescent="0.2">
      <c r="A11" s="1">
        <v>20240300591600</v>
      </c>
      <c r="B11">
        <v>40</v>
      </c>
      <c r="C11">
        <v>45000</v>
      </c>
      <c r="D11" t="str">
        <f t="shared" si="0"/>
        <v>0-59999</v>
      </c>
      <c r="E11" s="1" t="s">
        <v>1</v>
      </c>
      <c r="F11" s="1" t="s">
        <v>3</v>
      </c>
    </row>
    <row r="12" spans="1:6" x14ac:dyDescent="0.2">
      <c r="A12" s="1">
        <v>20251300777300</v>
      </c>
      <c r="B12">
        <v>40</v>
      </c>
      <c r="C12">
        <v>25000</v>
      </c>
      <c r="D12" t="str">
        <f t="shared" si="0"/>
        <v>0-59999</v>
      </c>
      <c r="E12" s="1" t="s">
        <v>1</v>
      </c>
      <c r="F12" s="1" t="s">
        <v>3</v>
      </c>
    </row>
    <row r="13" spans="1:6" x14ac:dyDescent="0.2">
      <c r="A13" s="1">
        <v>20250103661700</v>
      </c>
      <c r="B13">
        <v>40</v>
      </c>
      <c r="C13">
        <v>43000</v>
      </c>
      <c r="D13" t="str">
        <f t="shared" si="0"/>
        <v>0-59999</v>
      </c>
      <c r="E13" s="1" t="s">
        <v>1</v>
      </c>
      <c r="F13" s="1" t="s">
        <v>3</v>
      </c>
    </row>
    <row r="14" spans="1:6" x14ac:dyDescent="0.2">
      <c r="A14" s="1">
        <v>20240100085800</v>
      </c>
      <c r="B14">
        <v>30</v>
      </c>
      <c r="C14">
        <v>4500</v>
      </c>
      <c r="D14" t="str">
        <f t="shared" si="0"/>
        <v>0-59999</v>
      </c>
      <c r="E14" s="1" t="s">
        <v>1</v>
      </c>
      <c r="F14" s="1" t="s">
        <v>3</v>
      </c>
    </row>
    <row r="15" spans="1:6" x14ac:dyDescent="0.2">
      <c r="A15" s="1">
        <v>20240100195000</v>
      </c>
      <c r="B15">
        <v>40</v>
      </c>
      <c r="C15">
        <v>60000</v>
      </c>
      <c r="D15" t="str">
        <f t="shared" si="0"/>
        <v>60000-119999</v>
      </c>
      <c r="E15" s="1" t="s">
        <v>2</v>
      </c>
      <c r="F15" s="1" t="s">
        <v>3</v>
      </c>
    </row>
    <row r="16" spans="1:6" x14ac:dyDescent="0.2">
      <c r="A16" s="1">
        <v>20250105049400</v>
      </c>
      <c r="B16">
        <v>38</v>
      </c>
      <c r="C16">
        <v>43500</v>
      </c>
      <c r="D16" t="str">
        <f t="shared" si="0"/>
        <v>0-59999</v>
      </c>
      <c r="E16" s="1" t="s">
        <v>1</v>
      </c>
      <c r="F16" s="1" t="s">
        <v>3</v>
      </c>
    </row>
    <row r="17" spans="1:6" x14ac:dyDescent="0.2">
      <c r="A17" s="1">
        <v>20251308468200</v>
      </c>
      <c r="B17">
        <v>40</v>
      </c>
      <c r="C17">
        <v>60000</v>
      </c>
      <c r="D17" t="str">
        <f t="shared" si="0"/>
        <v>60000-119999</v>
      </c>
      <c r="E17" s="1" t="s">
        <v>1</v>
      </c>
      <c r="F17" s="1" t="s">
        <v>3</v>
      </c>
    </row>
    <row r="18" spans="1:6" x14ac:dyDescent="0.2">
      <c r="A18" s="1">
        <v>20250306446600</v>
      </c>
      <c r="B18">
        <v>49</v>
      </c>
      <c r="C18">
        <v>65000</v>
      </c>
      <c r="D18" t="str">
        <f t="shared" si="0"/>
        <v>60000-119999</v>
      </c>
      <c r="E18" s="1" t="s">
        <v>1</v>
      </c>
      <c r="F18" s="1" t="s">
        <v>3</v>
      </c>
    </row>
    <row r="19" spans="1:6" x14ac:dyDescent="0.2">
      <c r="A19" s="1">
        <v>20251307273000</v>
      </c>
      <c r="B19">
        <v>40</v>
      </c>
      <c r="C19">
        <v>53000</v>
      </c>
      <c r="D19" t="str">
        <f t="shared" si="0"/>
        <v>0-59999</v>
      </c>
      <c r="E19" s="1" t="s">
        <v>1</v>
      </c>
      <c r="F19" s="1" t="s">
        <v>3</v>
      </c>
    </row>
    <row r="20" spans="1:6" x14ac:dyDescent="0.2">
      <c r="A20" s="1">
        <v>20250106534100</v>
      </c>
      <c r="B20">
        <v>40</v>
      </c>
      <c r="C20">
        <v>125000</v>
      </c>
      <c r="D20" t="str">
        <f t="shared" si="0"/>
        <v>120000-179999</v>
      </c>
      <c r="E20" s="1" t="s">
        <v>2</v>
      </c>
      <c r="F20" s="1" t="s">
        <v>3</v>
      </c>
    </row>
    <row r="21" spans="1:6" x14ac:dyDescent="0.2">
      <c r="A21" s="1">
        <v>20240100081300</v>
      </c>
      <c r="B21">
        <v>40</v>
      </c>
      <c r="C21">
        <v>150000</v>
      </c>
      <c r="D21" t="str">
        <f t="shared" si="0"/>
        <v>120000-179999</v>
      </c>
      <c r="E21" s="1" t="s">
        <v>2</v>
      </c>
      <c r="F21" s="1" t="s">
        <v>3</v>
      </c>
    </row>
    <row r="22" spans="1:6" x14ac:dyDescent="0.2">
      <c r="A22" s="1">
        <v>20241201920400</v>
      </c>
      <c r="B22">
        <v>40</v>
      </c>
      <c r="C22">
        <v>40000</v>
      </c>
      <c r="D22" t="str">
        <f t="shared" si="0"/>
        <v>0-59999</v>
      </c>
      <c r="E22" s="1" t="s">
        <v>1</v>
      </c>
      <c r="F22" s="1" t="s">
        <v>3</v>
      </c>
    </row>
    <row r="23" spans="1:6" x14ac:dyDescent="0.2">
      <c r="A23" s="1">
        <v>20250205471300</v>
      </c>
      <c r="B23">
        <v>40</v>
      </c>
      <c r="C23">
        <v>44256</v>
      </c>
      <c r="D23" t="str">
        <f t="shared" si="0"/>
        <v>0-59999</v>
      </c>
      <c r="E23" s="1" t="s">
        <v>2</v>
      </c>
      <c r="F23" s="1" t="s">
        <v>3</v>
      </c>
    </row>
    <row r="24" spans="1:6" x14ac:dyDescent="0.2">
      <c r="A24" s="1">
        <v>20240100851600</v>
      </c>
      <c r="B24">
        <v>60</v>
      </c>
      <c r="C24">
        <v>40000</v>
      </c>
      <c r="D24" t="str">
        <f t="shared" si="0"/>
        <v>0-59999</v>
      </c>
      <c r="E24" s="1" t="s">
        <v>1</v>
      </c>
      <c r="F24" s="1" t="s">
        <v>3</v>
      </c>
    </row>
    <row r="25" spans="1:6" x14ac:dyDescent="0.2">
      <c r="A25" s="1">
        <v>20241301363900</v>
      </c>
      <c r="B25">
        <v>0</v>
      </c>
      <c r="C25">
        <v>0</v>
      </c>
      <c r="D25" t="str">
        <f t="shared" si="0"/>
        <v>0-59999</v>
      </c>
      <c r="E25" s="1" t="s">
        <v>1</v>
      </c>
      <c r="F25" s="1" t="s">
        <v>4</v>
      </c>
    </row>
    <row r="26" spans="1:6" x14ac:dyDescent="0.2">
      <c r="A26" s="1">
        <v>20251300784100</v>
      </c>
      <c r="B26">
        <v>40</v>
      </c>
      <c r="C26">
        <v>70000</v>
      </c>
      <c r="D26" t="str">
        <f t="shared" si="0"/>
        <v>60000-119999</v>
      </c>
      <c r="E26" s="1" t="s">
        <v>1</v>
      </c>
      <c r="F26" s="1" t="s">
        <v>3</v>
      </c>
    </row>
    <row r="27" spans="1:6" x14ac:dyDescent="0.2">
      <c r="A27" s="1">
        <v>20250305961700</v>
      </c>
      <c r="B27">
        <v>40</v>
      </c>
      <c r="C27">
        <v>160000</v>
      </c>
      <c r="D27" t="str">
        <f t="shared" si="0"/>
        <v>120000-179999</v>
      </c>
      <c r="E27" s="1" t="s">
        <v>2</v>
      </c>
      <c r="F27" s="1" t="s">
        <v>3</v>
      </c>
    </row>
    <row r="28" spans="1:6" x14ac:dyDescent="0.2">
      <c r="A28" s="1">
        <v>20250202016300</v>
      </c>
      <c r="B28">
        <v>0</v>
      </c>
      <c r="C28">
        <v>16000</v>
      </c>
      <c r="D28" t="str">
        <f t="shared" si="0"/>
        <v>0-59999</v>
      </c>
      <c r="E28" s="1" t="s">
        <v>1</v>
      </c>
      <c r="F28" s="1" t="s">
        <v>4</v>
      </c>
    </row>
    <row r="29" spans="1:6" x14ac:dyDescent="0.2">
      <c r="A29" s="1">
        <v>20241300664500</v>
      </c>
      <c r="B29">
        <v>0</v>
      </c>
      <c r="C29">
        <v>4000</v>
      </c>
      <c r="D29" t="str">
        <f t="shared" si="0"/>
        <v>0-59999</v>
      </c>
      <c r="E29" s="1" t="s">
        <v>1</v>
      </c>
      <c r="F29" s="1" t="s">
        <v>4</v>
      </c>
    </row>
    <row r="30" spans="1:6" x14ac:dyDescent="0.2">
      <c r="A30" s="1">
        <v>20250100991500</v>
      </c>
      <c r="B30">
        <v>40</v>
      </c>
      <c r="C30">
        <v>43500</v>
      </c>
      <c r="D30" t="str">
        <f t="shared" si="0"/>
        <v>0-59999</v>
      </c>
      <c r="E30" s="1" t="s">
        <v>1</v>
      </c>
      <c r="F30" s="1" t="s">
        <v>3</v>
      </c>
    </row>
    <row r="31" spans="1:6" x14ac:dyDescent="0.2">
      <c r="A31" s="1">
        <v>20250200863800</v>
      </c>
      <c r="B31">
        <v>55</v>
      </c>
      <c r="C31">
        <v>108000</v>
      </c>
      <c r="D31" t="str">
        <f t="shared" si="0"/>
        <v>60000-119999</v>
      </c>
      <c r="E31" s="1" t="s">
        <v>2</v>
      </c>
      <c r="F31" s="1" t="s">
        <v>3</v>
      </c>
    </row>
    <row r="32" spans="1:6" x14ac:dyDescent="0.2">
      <c r="A32" s="1">
        <v>20240100597000</v>
      </c>
      <c r="B32">
        <v>40</v>
      </c>
      <c r="C32">
        <v>38000</v>
      </c>
      <c r="D32" t="str">
        <f t="shared" si="0"/>
        <v>0-59999</v>
      </c>
      <c r="E32" s="1" t="s">
        <v>1</v>
      </c>
      <c r="F32" s="1" t="s">
        <v>3</v>
      </c>
    </row>
    <row r="33" spans="1:6" x14ac:dyDescent="0.2">
      <c r="A33" s="1">
        <v>20241302497800</v>
      </c>
      <c r="B33">
        <v>40</v>
      </c>
      <c r="C33">
        <v>42120</v>
      </c>
      <c r="D33" t="str">
        <f t="shared" si="0"/>
        <v>0-59999</v>
      </c>
      <c r="E33" s="1" t="s">
        <v>1</v>
      </c>
      <c r="F33" s="1" t="s">
        <v>3</v>
      </c>
    </row>
    <row r="34" spans="1:6" x14ac:dyDescent="0.2">
      <c r="A34" s="1">
        <v>20250206071500</v>
      </c>
      <c r="B34">
        <v>40</v>
      </c>
      <c r="C34">
        <v>42000</v>
      </c>
      <c r="D34" t="str">
        <f t="shared" si="0"/>
        <v>0-59999</v>
      </c>
      <c r="E34" s="1" t="s">
        <v>1</v>
      </c>
      <c r="F34" s="1" t="s">
        <v>3</v>
      </c>
    </row>
    <row r="35" spans="1:6" x14ac:dyDescent="0.2">
      <c r="A35" s="1">
        <v>20250105251200</v>
      </c>
      <c r="B35">
        <v>45</v>
      </c>
      <c r="C35">
        <v>220000</v>
      </c>
      <c r="D35" t="str">
        <f t="shared" si="0"/>
        <v>180000-239999</v>
      </c>
      <c r="E35" s="1" t="s">
        <v>2</v>
      </c>
      <c r="F35" s="1" t="s">
        <v>3</v>
      </c>
    </row>
    <row r="36" spans="1:6" x14ac:dyDescent="0.2">
      <c r="A36" s="1">
        <v>20251303188200</v>
      </c>
      <c r="B36">
        <v>40</v>
      </c>
      <c r="C36">
        <v>10000</v>
      </c>
      <c r="D36" t="str">
        <f t="shared" si="0"/>
        <v>0-59999</v>
      </c>
      <c r="E36" s="1" t="s">
        <v>1</v>
      </c>
      <c r="F36" s="1" t="s">
        <v>3</v>
      </c>
    </row>
    <row r="37" spans="1:6" x14ac:dyDescent="0.2">
      <c r="A37" s="1">
        <v>20241205823200</v>
      </c>
      <c r="B37">
        <v>40</v>
      </c>
      <c r="C37">
        <v>16688</v>
      </c>
      <c r="D37" t="str">
        <f t="shared" si="0"/>
        <v>0-59999</v>
      </c>
      <c r="E37" s="1" t="s">
        <v>1</v>
      </c>
      <c r="F37" s="1" t="s">
        <v>3</v>
      </c>
    </row>
    <row r="38" spans="1:6" x14ac:dyDescent="0.2">
      <c r="A38" s="1">
        <v>20241205943100</v>
      </c>
      <c r="B38">
        <v>40</v>
      </c>
      <c r="C38">
        <v>53000</v>
      </c>
      <c r="D38" t="str">
        <f t="shared" si="0"/>
        <v>0-59999</v>
      </c>
      <c r="E38" s="1" t="s">
        <v>1</v>
      </c>
      <c r="F38" s="1" t="s">
        <v>3</v>
      </c>
    </row>
    <row r="39" spans="1:6" x14ac:dyDescent="0.2">
      <c r="A39" s="1">
        <v>20251305399500</v>
      </c>
      <c r="B39">
        <v>0</v>
      </c>
      <c r="C39">
        <v>3000</v>
      </c>
      <c r="D39" t="str">
        <f t="shared" si="0"/>
        <v>0-59999</v>
      </c>
      <c r="E39" s="1" t="s">
        <v>1</v>
      </c>
      <c r="F39" s="1" t="s">
        <v>3</v>
      </c>
    </row>
    <row r="40" spans="1:6" x14ac:dyDescent="0.2">
      <c r="A40" s="1">
        <v>20251308525300</v>
      </c>
      <c r="B40">
        <v>40</v>
      </c>
      <c r="C40">
        <v>28000</v>
      </c>
      <c r="D40" t="str">
        <f t="shared" si="0"/>
        <v>0-59999</v>
      </c>
      <c r="E40" s="1" t="s">
        <v>1</v>
      </c>
      <c r="F40" s="1" t="s">
        <v>3</v>
      </c>
    </row>
    <row r="41" spans="1:6" x14ac:dyDescent="0.2">
      <c r="A41" s="1">
        <v>20250304997600</v>
      </c>
      <c r="B41">
        <v>40</v>
      </c>
      <c r="C41">
        <v>60000</v>
      </c>
      <c r="D41" t="str">
        <f t="shared" si="0"/>
        <v>60000-119999</v>
      </c>
      <c r="E41" s="1" t="s">
        <v>2</v>
      </c>
      <c r="F41" s="1" t="s">
        <v>3</v>
      </c>
    </row>
    <row r="42" spans="1:6" x14ac:dyDescent="0.2">
      <c r="A42" s="1">
        <v>20251306816100</v>
      </c>
      <c r="B42">
        <v>40</v>
      </c>
      <c r="C42">
        <v>35000</v>
      </c>
      <c r="D42" t="str">
        <f t="shared" si="0"/>
        <v>0-59999</v>
      </c>
      <c r="E42" s="1" t="s">
        <v>1</v>
      </c>
      <c r="F42" s="1" t="s">
        <v>3</v>
      </c>
    </row>
    <row r="43" spans="1:6" x14ac:dyDescent="0.2">
      <c r="A43" s="1">
        <v>20250204768800</v>
      </c>
      <c r="B43">
        <v>25</v>
      </c>
      <c r="C43">
        <v>17000</v>
      </c>
      <c r="D43" t="str">
        <f t="shared" si="0"/>
        <v>0-59999</v>
      </c>
      <c r="E43" s="1" t="s">
        <v>1</v>
      </c>
      <c r="F43" s="1" t="s">
        <v>3</v>
      </c>
    </row>
    <row r="44" spans="1:6" x14ac:dyDescent="0.2">
      <c r="A44" s="1">
        <v>20251304636900</v>
      </c>
      <c r="B44">
        <v>40</v>
      </c>
      <c r="C44">
        <v>50000</v>
      </c>
      <c r="D44" t="str">
        <f t="shared" si="0"/>
        <v>0-59999</v>
      </c>
      <c r="E44" s="1" t="s">
        <v>1</v>
      </c>
      <c r="F44" s="1" t="s">
        <v>3</v>
      </c>
    </row>
    <row r="45" spans="1:6" x14ac:dyDescent="0.2">
      <c r="A45" s="1">
        <v>20241202411400</v>
      </c>
      <c r="B45">
        <v>40</v>
      </c>
      <c r="C45">
        <v>45000</v>
      </c>
      <c r="D45" t="str">
        <f t="shared" si="0"/>
        <v>0-59999</v>
      </c>
      <c r="E45" s="1" t="s">
        <v>1</v>
      </c>
      <c r="F45" s="1" t="s">
        <v>3</v>
      </c>
    </row>
    <row r="46" spans="1:6" x14ac:dyDescent="0.2">
      <c r="A46" s="1">
        <v>20231200039800</v>
      </c>
      <c r="B46">
        <v>40</v>
      </c>
      <c r="C46">
        <v>59000</v>
      </c>
      <c r="D46" t="str">
        <f t="shared" si="0"/>
        <v>0-59999</v>
      </c>
      <c r="E46" s="1" t="s">
        <v>1</v>
      </c>
      <c r="F46" s="1" t="s">
        <v>3</v>
      </c>
    </row>
    <row r="47" spans="1:6" x14ac:dyDescent="0.2">
      <c r="A47" s="1">
        <v>20251308172000</v>
      </c>
      <c r="B47">
        <v>30</v>
      </c>
      <c r="C47">
        <v>13000</v>
      </c>
      <c r="D47" t="str">
        <f t="shared" si="0"/>
        <v>0-59999</v>
      </c>
      <c r="E47" s="1" t="s">
        <v>1</v>
      </c>
      <c r="F47" s="1" t="s">
        <v>3</v>
      </c>
    </row>
    <row r="48" spans="1:6" x14ac:dyDescent="0.2">
      <c r="A48" s="1">
        <v>20231200443700</v>
      </c>
      <c r="B48">
        <v>40</v>
      </c>
      <c r="C48">
        <v>52000</v>
      </c>
      <c r="D48" t="str">
        <f t="shared" si="0"/>
        <v>0-59999</v>
      </c>
      <c r="E48" s="1" t="s">
        <v>1</v>
      </c>
      <c r="F48" s="1" t="s">
        <v>3</v>
      </c>
    </row>
    <row r="49" spans="1:6" x14ac:dyDescent="0.2">
      <c r="A49" s="1">
        <v>20250101623000</v>
      </c>
      <c r="B49">
        <v>40</v>
      </c>
      <c r="C49">
        <v>52000</v>
      </c>
      <c r="D49" t="str">
        <f t="shared" si="0"/>
        <v>0-59999</v>
      </c>
      <c r="E49" s="1" t="s">
        <v>1</v>
      </c>
      <c r="F49" s="1" t="s">
        <v>3</v>
      </c>
    </row>
    <row r="50" spans="1:6" x14ac:dyDescent="0.2">
      <c r="A50" s="1">
        <v>20250102597600</v>
      </c>
      <c r="B50">
        <v>15</v>
      </c>
      <c r="C50">
        <v>10150</v>
      </c>
      <c r="D50" t="str">
        <f t="shared" si="0"/>
        <v>0-59999</v>
      </c>
      <c r="E50" s="1" t="s">
        <v>1</v>
      </c>
      <c r="F50" s="1" t="s">
        <v>3</v>
      </c>
    </row>
    <row r="51" spans="1:6" x14ac:dyDescent="0.2">
      <c r="A51" s="1">
        <v>20240300215500</v>
      </c>
      <c r="B51">
        <v>65</v>
      </c>
      <c r="C51">
        <v>90000</v>
      </c>
      <c r="D51" t="str">
        <f t="shared" si="0"/>
        <v>60000-119999</v>
      </c>
      <c r="E51" s="1" t="s">
        <v>1</v>
      </c>
      <c r="F51" s="1" t="s">
        <v>3</v>
      </c>
    </row>
    <row r="52" spans="1:6" x14ac:dyDescent="0.2">
      <c r="A52" s="1">
        <v>20251304959300</v>
      </c>
      <c r="B52">
        <v>40</v>
      </c>
      <c r="C52">
        <v>50000</v>
      </c>
      <c r="D52" t="str">
        <f t="shared" si="0"/>
        <v>0-59999</v>
      </c>
      <c r="E52" s="1" t="s">
        <v>2</v>
      </c>
      <c r="F52" s="1" t="s">
        <v>3</v>
      </c>
    </row>
    <row r="53" spans="1:6" x14ac:dyDescent="0.2">
      <c r="A53" s="1">
        <v>20240300233600</v>
      </c>
      <c r="B53">
        <v>20</v>
      </c>
      <c r="C53">
        <v>12000</v>
      </c>
      <c r="D53" t="str">
        <f t="shared" si="0"/>
        <v>0-59999</v>
      </c>
      <c r="E53" s="1" t="s">
        <v>1</v>
      </c>
      <c r="F53" s="1" t="s">
        <v>3</v>
      </c>
    </row>
    <row r="54" spans="1:6" x14ac:dyDescent="0.2">
      <c r="A54" s="1">
        <v>20240200104600</v>
      </c>
      <c r="B54">
        <v>40</v>
      </c>
      <c r="C54">
        <v>148000</v>
      </c>
      <c r="D54" t="str">
        <f t="shared" si="0"/>
        <v>120000-179999</v>
      </c>
      <c r="E54" s="1" t="s">
        <v>2</v>
      </c>
      <c r="F54" s="1" t="s">
        <v>3</v>
      </c>
    </row>
    <row r="55" spans="1:6" x14ac:dyDescent="0.2">
      <c r="A55" s="1">
        <v>20231200068900</v>
      </c>
      <c r="B55">
        <v>40</v>
      </c>
      <c r="C55">
        <v>165000</v>
      </c>
      <c r="D55" t="str">
        <f t="shared" si="0"/>
        <v>120000-179999</v>
      </c>
      <c r="E55" s="1" t="s">
        <v>2</v>
      </c>
      <c r="F55" s="1" t="s">
        <v>3</v>
      </c>
    </row>
    <row r="56" spans="1:6" x14ac:dyDescent="0.2">
      <c r="A56" s="1">
        <v>20250306715100</v>
      </c>
      <c r="B56">
        <v>40</v>
      </c>
      <c r="C56">
        <v>10000</v>
      </c>
      <c r="D56" t="str">
        <f t="shared" si="0"/>
        <v>0-59999</v>
      </c>
      <c r="E56" s="1" t="s">
        <v>1</v>
      </c>
      <c r="F56" s="1" t="s">
        <v>3</v>
      </c>
    </row>
    <row r="57" spans="1:6" x14ac:dyDescent="0.2">
      <c r="A57" s="1">
        <v>20251302066000</v>
      </c>
      <c r="B57">
        <v>40</v>
      </c>
      <c r="C57">
        <v>57000</v>
      </c>
      <c r="D57" t="str">
        <f t="shared" si="0"/>
        <v>0-59999</v>
      </c>
      <c r="E57" s="1" t="s">
        <v>2</v>
      </c>
      <c r="F57" s="1" t="s">
        <v>3</v>
      </c>
    </row>
    <row r="58" spans="1:6" x14ac:dyDescent="0.2">
      <c r="A58" s="1">
        <v>20241307906200</v>
      </c>
      <c r="B58">
        <v>48</v>
      </c>
      <c r="C58">
        <v>166000</v>
      </c>
      <c r="D58" t="str">
        <f t="shared" si="0"/>
        <v>120000-179999</v>
      </c>
      <c r="E58" s="1" t="s">
        <v>2</v>
      </c>
      <c r="F58" s="1" t="s">
        <v>3</v>
      </c>
    </row>
    <row r="59" spans="1:6" x14ac:dyDescent="0.2">
      <c r="A59" s="1">
        <v>20251300677800</v>
      </c>
      <c r="B59">
        <v>40</v>
      </c>
      <c r="C59">
        <v>115000</v>
      </c>
      <c r="D59" t="str">
        <f t="shared" si="0"/>
        <v>60000-119999</v>
      </c>
      <c r="E59" s="1" t="s">
        <v>1</v>
      </c>
      <c r="F59" s="1" t="s">
        <v>3</v>
      </c>
    </row>
    <row r="60" spans="1:6" x14ac:dyDescent="0.2">
      <c r="A60" s="1">
        <v>20250105348600</v>
      </c>
      <c r="B60">
        <v>40</v>
      </c>
      <c r="C60">
        <v>190000</v>
      </c>
      <c r="D60" t="str">
        <f t="shared" si="0"/>
        <v>180000-239999</v>
      </c>
      <c r="E60" s="1" t="s">
        <v>2</v>
      </c>
      <c r="F60" s="1" t="s">
        <v>3</v>
      </c>
    </row>
    <row r="61" spans="1:6" x14ac:dyDescent="0.2">
      <c r="A61" s="1">
        <v>20241205977700</v>
      </c>
      <c r="B61">
        <v>40</v>
      </c>
      <c r="C61">
        <v>48000</v>
      </c>
      <c r="D61" t="str">
        <f t="shared" si="0"/>
        <v>0-59999</v>
      </c>
      <c r="E61" s="1" t="s">
        <v>2</v>
      </c>
      <c r="F61" s="1" t="s">
        <v>3</v>
      </c>
    </row>
    <row r="62" spans="1:6" x14ac:dyDescent="0.2">
      <c r="A62" s="1">
        <v>20250103164500</v>
      </c>
      <c r="B62">
        <v>40</v>
      </c>
      <c r="C62">
        <v>55000</v>
      </c>
      <c r="D62" t="str">
        <f t="shared" si="0"/>
        <v>0-59999</v>
      </c>
      <c r="E62" s="1" t="s">
        <v>1</v>
      </c>
      <c r="F62" s="1" t="s">
        <v>3</v>
      </c>
    </row>
    <row r="63" spans="1:6" x14ac:dyDescent="0.2">
      <c r="A63" s="1">
        <v>20241306318100</v>
      </c>
      <c r="B63">
        <v>40</v>
      </c>
      <c r="C63">
        <v>20000</v>
      </c>
      <c r="D63" t="str">
        <f t="shared" si="0"/>
        <v>0-59999</v>
      </c>
      <c r="E63" s="1" t="s">
        <v>1</v>
      </c>
      <c r="F63" s="1" t="s">
        <v>3</v>
      </c>
    </row>
    <row r="64" spans="1:6" x14ac:dyDescent="0.2">
      <c r="A64" s="1">
        <v>20241304355200</v>
      </c>
      <c r="B64">
        <v>40</v>
      </c>
      <c r="C64">
        <v>37440</v>
      </c>
      <c r="D64" t="str">
        <f t="shared" si="0"/>
        <v>0-59999</v>
      </c>
      <c r="E64" s="1" t="s">
        <v>1</v>
      </c>
      <c r="F64" s="1" t="s">
        <v>3</v>
      </c>
    </row>
    <row r="65" spans="1:6" x14ac:dyDescent="0.2">
      <c r="A65" s="1">
        <v>20240300407400</v>
      </c>
      <c r="B65">
        <v>1</v>
      </c>
      <c r="C65">
        <v>3000</v>
      </c>
      <c r="D65" t="str">
        <f t="shared" si="0"/>
        <v>0-59999</v>
      </c>
      <c r="E65" s="1" t="s">
        <v>2</v>
      </c>
      <c r="F65" s="1" t="s">
        <v>3</v>
      </c>
    </row>
    <row r="66" spans="1:6" x14ac:dyDescent="0.2">
      <c r="A66" s="1">
        <v>20241200152600</v>
      </c>
      <c r="B66">
        <v>40</v>
      </c>
      <c r="C66">
        <v>18000</v>
      </c>
      <c r="D66" t="str">
        <f t="shared" si="0"/>
        <v>0-59999</v>
      </c>
      <c r="E66" s="1" t="s">
        <v>1</v>
      </c>
      <c r="F66" s="1" t="s">
        <v>3</v>
      </c>
    </row>
    <row r="67" spans="1:6" x14ac:dyDescent="0.2">
      <c r="A67" s="1">
        <v>20241308354400</v>
      </c>
      <c r="B67">
        <v>24</v>
      </c>
      <c r="C67">
        <v>90000</v>
      </c>
      <c r="D67" t="str">
        <f t="shared" ref="D67:D101" si="1">IF(C67&lt;=59999,"0-59999",
IF(C67&lt;=119999,"60000-119999",
IF(C67&lt;=179999,"120000-179999",
IF(C67&lt;=239999,"180000-239999",
"300000-359999"))))</f>
        <v>60000-119999</v>
      </c>
      <c r="E67" s="1" t="s">
        <v>2</v>
      </c>
      <c r="F67" s="1" t="s">
        <v>3</v>
      </c>
    </row>
    <row r="68" spans="1:6" x14ac:dyDescent="0.2">
      <c r="A68" s="1">
        <v>20250202642800</v>
      </c>
      <c r="B68">
        <v>40</v>
      </c>
      <c r="C68">
        <v>55000</v>
      </c>
      <c r="D68" t="str">
        <f t="shared" si="1"/>
        <v>0-59999</v>
      </c>
      <c r="E68" s="1" t="s">
        <v>2</v>
      </c>
      <c r="F68" s="1" t="s">
        <v>3</v>
      </c>
    </row>
    <row r="69" spans="1:6" x14ac:dyDescent="0.2">
      <c r="A69" s="1">
        <v>20250300139600</v>
      </c>
      <c r="B69">
        <v>20</v>
      </c>
      <c r="C69">
        <v>4000</v>
      </c>
      <c r="D69" t="str">
        <f t="shared" si="1"/>
        <v>0-59999</v>
      </c>
      <c r="E69" s="1" t="s">
        <v>2</v>
      </c>
      <c r="F69" s="1" t="s">
        <v>3</v>
      </c>
    </row>
    <row r="70" spans="1:6" x14ac:dyDescent="0.2">
      <c r="A70" s="1">
        <v>20250203528600</v>
      </c>
      <c r="B70">
        <v>50</v>
      </c>
      <c r="C70">
        <v>35000</v>
      </c>
      <c r="D70" t="str">
        <f t="shared" si="1"/>
        <v>0-59999</v>
      </c>
      <c r="E70" s="1" t="s">
        <v>1</v>
      </c>
      <c r="F70" s="1" t="s">
        <v>3</v>
      </c>
    </row>
    <row r="71" spans="1:6" x14ac:dyDescent="0.2">
      <c r="A71" s="1">
        <v>20251304798600</v>
      </c>
      <c r="B71">
        <v>40</v>
      </c>
      <c r="C71">
        <v>4000</v>
      </c>
      <c r="D71" t="str">
        <f t="shared" si="1"/>
        <v>0-59999</v>
      </c>
      <c r="E71" s="1" t="s">
        <v>2</v>
      </c>
      <c r="F71" s="1" t="s">
        <v>3</v>
      </c>
    </row>
    <row r="72" spans="1:6" x14ac:dyDescent="0.2">
      <c r="A72" s="1">
        <v>20251307406000</v>
      </c>
      <c r="B72">
        <v>40</v>
      </c>
      <c r="C72">
        <v>101000</v>
      </c>
      <c r="D72" t="str">
        <f t="shared" si="1"/>
        <v>60000-119999</v>
      </c>
      <c r="E72" s="1" t="s">
        <v>2</v>
      </c>
      <c r="F72" s="1" t="s">
        <v>3</v>
      </c>
    </row>
    <row r="73" spans="1:6" x14ac:dyDescent="0.2">
      <c r="A73" s="1">
        <v>20251304671100</v>
      </c>
      <c r="B73">
        <v>20</v>
      </c>
      <c r="C73">
        <v>20000</v>
      </c>
      <c r="D73" t="str">
        <f t="shared" si="1"/>
        <v>0-59999</v>
      </c>
      <c r="E73" s="1" t="s">
        <v>2</v>
      </c>
      <c r="F73" s="1" t="s">
        <v>3</v>
      </c>
    </row>
    <row r="74" spans="1:6" x14ac:dyDescent="0.2">
      <c r="A74" s="1">
        <v>20241200576000</v>
      </c>
      <c r="B74">
        <v>40</v>
      </c>
      <c r="C74">
        <v>58000</v>
      </c>
      <c r="D74" t="str">
        <f t="shared" si="1"/>
        <v>0-59999</v>
      </c>
      <c r="E74" s="1" t="s">
        <v>2</v>
      </c>
      <c r="F74" s="1" t="s">
        <v>3</v>
      </c>
    </row>
    <row r="75" spans="1:6" x14ac:dyDescent="0.2">
      <c r="A75" s="1">
        <v>20251307014200</v>
      </c>
      <c r="B75">
        <v>40</v>
      </c>
      <c r="C75">
        <v>88000</v>
      </c>
      <c r="D75" t="str">
        <f t="shared" si="1"/>
        <v>60000-119999</v>
      </c>
      <c r="E75" s="1" t="s">
        <v>1</v>
      </c>
      <c r="F75" s="1" t="s">
        <v>3</v>
      </c>
    </row>
    <row r="76" spans="1:6" x14ac:dyDescent="0.2">
      <c r="A76" s="1">
        <v>20251300743500</v>
      </c>
      <c r="B76">
        <v>40</v>
      </c>
      <c r="C76">
        <v>38000</v>
      </c>
      <c r="D76" t="str">
        <f t="shared" si="1"/>
        <v>0-59999</v>
      </c>
      <c r="E76" s="1" t="s">
        <v>1</v>
      </c>
      <c r="F76" s="1" t="s">
        <v>3</v>
      </c>
    </row>
    <row r="77" spans="1:6" x14ac:dyDescent="0.2">
      <c r="A77" s="1">
        <v>20251307804700</v>
      </c>
      <c r="B77">
        <v>40</v>
      </c>
      <c r="C77">
        <v>40000</v>
      </c>
      <c r="D77" t="str">
        <f t="shared" si="1"/>
        <v>0-59999</v>
      </c>
      <c r="E77" s="1" t="s">
        <v>1</v>
      </c>
      <c r="F77" s="1" t="s">
        <v>3</v>
      </c>
    </row>
    <row r="78" spans="1:6" x14ac:dyDescent="0.2">
      <c r="A78" s="1">
        <v>20250305533300</v>
      </c>
      <c r="B78">
        <v>40</v>
      </c>
      <c r="C78">
        <v>110000</v>
      </c>
      <c r="D78" t="str">
        <f t="shared" si="1"/>
        <v>60000-119999</v>
      </c>
      <c r="E78" s="1" t="s">
        <v>2</v>
      </c>
      <c r="F78" s="1" t="s">
        <v>3</v>
      </c>
    </row>
    <row r="79" spans="1:6" x14ac:dyDescent="0.2">
      <c r="A79" s="1">
        <v>20251306402900</v>
      </c>
      <c r="B79">
        <v>40</v>
      </c>
      <c r="C79">
        <v>350000</v>
      </c>
      <c r="D79" t="str">
        <f t="shared" si="1"/>
        <v>300000-359999</v>
      </c>
      <c r="E79" s="1" t="s">
        <v>2</v>
      </c>
      <c r="F79" s="1" t="s">
        <v>3</v>
      </c>
    </row>
    <row r="80" spans="1:6" x14ac:dyDescent="0.2">
      <c r="A80" s="1">
        <v>20250101070500</v>
      </c>
      <c r="B80">
        <v>60</v>
      </c>
      <c r="C80">
        <v>60000</v>
      </c>
      <c r="D80" t="str">
        <f t="shared" si="1"/>
        <v>60000-119999</v>
      </c>
      <c r="E80" s="1" t="s">
        <v>1</v>
      </c>
      <c r="F80" s="1" t="s">
        <v>3</v>
      </c>
    </row>
    <row r="81" spans="1:6" x14ac:dyDescent="0.2">
      <c r="A81" s="1">
        <v>20231200329500</v>
      </c>
      <c r="B81">
        <v>50</v>
      </c>
      <c r="C81">
        <v>90000</v>
      </c>
      <c r="D81" t="str">
        <f t="shared" si="1"/>
        <v>60000-119999</v>
      </c>
      <c r="E81" s="1" t="s">
        <v>1</v>
      </c>
      <c r="F81" s="1" t="s">
        <v>3</v>
      </c>
    </row>
    <row r="82" spans="1:6" x14ac:dyDescent="0.2">
      <c r="A82" s="1">
        <v>20241304607000</v>
      </c>
      <c r="B82">
        <v>40</v>
      </c>
      <c r="C82">
        <v>40000</v>
      </c>
      <c r="D82" t="str">
        <f t="shared" si="1"/>
        <v>0-59999</v>
      </c>
      <c r="E82" s="1" t="s">
        <v>1</v>
      </c>
      <c r="F82" s="1" t="s">
        <v>3</v>
      </c>
    </row>
    <row r="83" spans="1:6" x14ac:dyDescent="0.2">
      <c r="A83" s="1">
        <v>20241204927700</v>
      </c>
      <c r="B83">
        <v>20</v>
      </c>
      <c r="C83">
        <v>32000</v>
      </c>
      <c r="D83" t="str">
        <f t="shared" si="1"/>
        <v>0-59999</v>
      </c>
      <c r="E83" s="1" t="s">
        <v>2</v>
      </c>
      <c r="F83" s="1" t="s">
        <v>3</v>
      </c>
    </row>
    <row r="84" spans="1:6" x14ac:dyDescent="0.2">
      <c r="A84" s="1">
        <v>20240300136100</v>
      </c>
      <c r="B84">
        <v>80</v>
      </c>
      <c r="C84">
        <v>50000</v>
      </c>
      <c r="D84" t="str">
        <f t="shared" si="1"/>
        <v>0-59999</v>
      </c>
      <c r="E84" s="1" t="s">
        <v>2</v>
      </c>
      <c r="F84" s="1" t="s">
        <v>3</v>
      </c>
    </row>
    <row r="85" spans="1:6" x14ac:dyDescent="0.2">
      <c r="A85" s="1">
        <v>20250300796500</v>
      </c>
      <c r="B85">
        <v>12</v>
      </c>
      <c r="C85">
        <v>15000</v>
      </c>
      <c r="D85" t="str">
        <f t="shared" si="1"/>
        <v>0-59999</v>
      </c>
      <c r="E85" s="1" t="s">
        <v>1</v>
      </c>
      <c r="F85" s="1" t="s">
        <v>3</v>
      </c>
    </row>
    <row r="86" spans="1:6" x14ac:dyDescent="0.2">
      <c r="A86" s="1">
        <v>20241202173300</v>
      </c>
      <c r="B86">
        <v>40</v>
      </c>
      <c r="C86">
        <v>66767</v>
      </c>
      <c r="D86" t="str">
        <f t="shared" si="1"/>
        <v>60000-119999</v>
      </c>
      <c r="E86" s="1" t="s">
        <v>2</v>
      </c>
      <c r="F86" s="1" t="s">
        <v>3</v>
      </c>
    </row>
    <row r="87" spans="1:6" x14ac:dyDescent="0.2">
      <c r="A87" s="1">
        <v>20250301173100</v>
      </c>
      <c r="B87">
        <v>35</v>
      </c>
      <c r="C87">
        <v>8566</v>
      </c>
      <c r="D87" t="str">
        <f t="shared" si="1"/>
        <v>0-59999</v>
      </c>
      <c r="E87" s="1" t="s">
        <v>1</v>
      </c>
      <c r="F87" s="1" t="s">
        <v>3</v>
      </c>
    </row>
    <row r="88" spans="1:6" x14ac:dyDescent="0.2">
      <c r="A88" s="1">
        <v>20241302372000</v>
      </c>
      <c r="B88">
        <v>90</v>
      </c>
      <c r="C88">
        <v>98000</v>
      </c>
      <c r="D88" t="str">
        <f t="shared" si="1"/>
        <v>60000-119999</v>
      </c>
      <c r="E88" s="1" t="s">
        <v>1</v>
      </c>
      <c r="F88" s="1" t="s">
        <v>3</v>
      </c>
    </row>
    <row r="89" spans="1:6" x14ac:dyDescent="0.2">
      <c r="A89" s="1">
        <v>20240200193400</v>
      </c>
      <c r="B89">
        <v>40</v>
      </c>
      <c r="C89">
        <v>75000</v>
      </c>
      <c r="D89" t="str">
        <f t="shared" si="1"/>
        <v>60000-119999</v>
      </c>
      <c r="E89" s="1" t="s">
        <v>2</v>
      </c>
      <c r="F89" s="1" t="s">
        <v>3</v>
      </c>
    </row>
    <row r="90" spans="1:6" x14ac:dyDescent="0.2">
      <c r="A90" s="1">
        <v>20241302321300</v>
      </c>
      <c r="B90">
        <v>40</v>
      </c>
      <c r="C90">
        <v>100000</v>
      </c>
      <c r="D90" t="str">
        <f t="shared" si="1"/>
        <v>60000-119999</v>
      </c>
      <c r="E90" s="1" t="s">
        <v>1</v>
      </c>
      <c r="F90" s="1" t="s">
        <v>3</v>
      </c>
    </row>
    <row r="91" spans="1:6" x14ac:dyDescent="0.2">
      <c r="A91" s="1">
        <v>20251307184600</v>
      </c>
      <c r="B91">
        <v>32</v>
      </c>
      <c r="C91">
        <v>25000</v>
      </c>
      <c r="D91" t="str">
        <f t="shared" si="1"/>
        <v>0-59999</v>
      </c>
      <c r="E91" s="1" t="s">
        <v>1</v>
      </c>
      <c r="F91" s="1" t="s">
        <v>3</v>
      </c>
    </row>
    <row r="92" spans="1:6" x14ac:dyDescent="0.2">
      <c r="A92" s="1">
        <v>20240200558300</v>
      </c>
      <c r="B92">
        <v>40</v>
      </c>
      <c r="C92">
        <v>138000</v>
      </c>
      <c r="D92" t="str">
        <f t="shared" si="1"/>
        <v>120000-179999</v>
      </c>
      <c r="E92" s="1" t="s">
        <v>2</v>
      </c>
      <c r="F92" s="1" t="s">
        <v>3</v>
      </c>
    </row>
    <row r="93" spans="1:6" x14ac:dyDescent="0.2">
      <c r="A93" s="1">
        <v>20251302007400</v>
      </c>
      <c r="B93">
        <v>40</v>
      </c>
      <c r="C93">
        <v>126090</v>
      </c>
      <c r="D93" t="str">
        <f t="shared" si="1"/>
        <v>120000-179999</v>
      </c>
      <c r="E93" s="1" t="s">
        <v>2</v>
      </c>
      <c r="F93" s="1" t="s">
        <v>3</v>
      </c>
    </row>
    <row r="94" spans="1:6" x14ac:dyDescent="0.2">
      <c r="A94" s="1">
        <v>20251301097200</v>
      </c>
      <c r="B94">
        <v>0</v>
      </c>
      <c r="C94">
        <v>100000</v>
      </c>
      <c r="D94" t="str">
        <f t="shared" si="1"/>
        <v>60000-119999</v>
      </c>
      <c r="E94" s="1" t="s">
        <v>2</v>
      </c>
      <c r="F94" s="1" t="s">
        <v>4</v>
      </c>
    </row>
    <row r="95" spans="1:6" x14ac:dyDescent="0.2">
      <c r="A95" s="1">
        <v>20240100207800</v>
      </c>
      <c r="B95">
        <v>40</v>
      </c>
      <c r="C95">
        <v>50000</v>
      </c>
      <c r="D95" t="str">
        <f t="shared" si="1"/>
        <v>0-59999</v>
      </c>
      <c r="E95" s="1" t="s">
        <v>2</v>
      </c>
      <c r="F95" s="1" t="s">
        <v>3</v>
      </c>
    </row>
    <row r="96" spans="1:6" x14ac:dyDescent="0.2">
      <c r="A96" s="1">
        <v>20240300273800</v>
      </c>
      <c r="B96">
        <v>36</v>
      </c>
      <c r="C96">
        <v>35000</v>
      </c>
      <c r="D96" t="str">
        <f t="shared" si="1"/>
        <v>0-59999</v>
      </c>
      <c r="E96" s="1" t="s">
        <v>1</v>
      </c>
      <c r="F96" s="1" t="s">
        <v>3</v>
      </c>
    </row>
    <row r="97" spans="1:6" x14ac:dyDescent="0.2">
      <c r="A97" s="1">
        <v>20250103038100</v>
      </c>
      <c r="B97">
        <v>50</v>
      </c>
      <c r="C97">
        <v>188000</v>
      </c>
      <c r="D97" t="str">
        <f t="shared" si="1"/>
        <v>180000-239999</v>
      </c>
      <c r="E97" s="1" t="s">
        <v>2</v>
      </c>
      <c r="F97" s="1" t="s">
        <v>3</v>
      </c>
    </row>
    <row r="98" spans="1:6" x14ac:dyDescent="0.2">
      <c r="A98" s="1">
        <v>20241300726000</v>
      </c>
      <c r="B98">
        <v>36</v>
      </c>
      <c r="C98">
        <v>82000</v>
      </c>
      <c r="D98" t="str">
        <f t="shared" si="1"/>
        <v>60000-119999</v>
      </c>
      <c r="E98" s="1" t="s">
        <v>2</v>
      </c>
      <c r="F98" s="1" t="s">
        <v>3</v>
      </c>
    </row>
    <row r="99" spans="1:6" x14ac:dyDescent="0.2">
      <c r="A99" s="1">
        <v>20250103333000</v>
      </c>
      <c r="B99">
        <v>40</v>
      </c>
      <c r="C99">
        <v>27000</v>
      </c>
      <c r="D99" t="str">
        <f t="shared" si="1"/>
        <v>0-59999</v>
      </c>
      <c r="E99" s="1" t="s">
        <v>1</v>
      </c>
      <c r="F99" s="1" t="s">
        <v>3</v>
      </c>
    </row>
    <row r="100" spans="1:6" x14ac:dyDescent="0.2">
      <c r="A100" s="1">
        <v>20250300922400</v>
      </c>
      <c r="B100">
        <v>40</v>
      </c>
      <c r="C100">
        <v>19000</v>
      </c>
      <c r="D100" t="str">
        <f t="shared" si="1"/>
        <v>0-59999</v>
      </c>
      <c r="E100" s="1" t="s">
        <v>2</v>
      </c>
      <c r="F100" s="1" t="s">
        <v>3</v>
      </c>
    </row>
    <row r="101" spans="1:6" x14ac:dyDescent="0.2">
      <c r="A101" s="1">
        <v>20251300501300</v>
      </c>
      <c r="B101">
        <v>80</v>
      </c>
      <c r="C101">
        <v>70000</v>
      </c>
      <c r="D101" t="str">
        <f t="shared" si="1"/>
        <v>60000-119999</v>
      </c>
      <c r="E101" s="1" t="s">
        <v>1</v>
      </c>
      <c r="F101" s="1" t="s">
        <v>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BBE84-6004-AF4C-99F9-87C6DAD055E2}">
  <dimension ref="A1:B5"/>
  <sheetViews>
    <sheetView workbookViewId="0">
      <selection activeCell="B4" sqref="B4"/>
    </sheetView>
  </sheetViews>
  <sheetFormatPr baseColWidth="10" defaultRowHeight="15" x14ac:dyDescent="0.2"/>
  <cols>
    <col min="1" max="1" width="21.83203125" customWidth="1"/>
    <col min="2" max="2" width="21.5" customWidth="1"/>
  </cols>
  <sheetData>
    <row r="1" spans="1:2" x14ac:dyDescent="0.2">
      <c r="A1" s="2" t="s">
        <v>5</v>
      </c>
      <c r="B1" s="2" t="s">
        <v>9</v>
      </c>
    </row>
    <row r="2" spans="1:2" x14ac:dyDescent="0.2">
      <c r="A2" s="2" t="s">
        <v>2</v>
      </c>
      <c r="B2" s="2">
        <f>COUNTIF('Raw Data'!E2:E101,"college")</f>
        <v>40</v>
      </c>
    </row>
    <row r="3" spans="1:2" x14ac:dyDescent="0.2">
      <c r="A3" s="2" t="s">
        <v>1</v>
      </c>
      <c r="B3">
        <f>COUNTIF('Raw Data'!E2:E101,"Non-college")</f>
        <v>60</v>
      </c>
    </row>
    <row r="4" spans="1:2" x14ac:dyDescent="0.2">
      <c r="A4" s="2"/>
    </row>
    <row r="5" spans="1:2" x14ac:dyDescent="0.2">
      <c r="A5" s="2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DEF5A-7B99-BC45-B1DE-E8445D3F5838}">
  <dimension ref="A1:D26"/>
  <sheetViews>
    <sheetView topLeftCell="A2" workbookViewId="0">
      <selection activeCell="A30" sqref="A30"/>
    </sheetView>
  </sheetViews>
  <sheetFormatPr baseColWidth="10" defaultRowHeight="15" x14ac:dyDescent="0.2"/>
  <cols>
    <col min="1" max="1" width="36.83203125" customWidth="1"/>
    <col min="2" max="2" width="21.33203125" customWidth="1"/>
    <col min="3" max="3" width="15.5" customWidth="1"/>
    <col min="4" max="4" width="10.83203125" customWidth="1"/>
  </cols>
  <sheetData>
    <row r="1" spans="1:4" x14ac:dyDescent="0.2">
      <c r="A1" s="14" t="s">
        <v>29</v>
      </c>
      <c r="B1" s="14" t="s">
        <v>28</v>
      </c>
      <c r="C1" s="2"/>
      <c r="D1" s="2"/>
    </row>
    <row r="2" spans="1:4" x14ac:dyDescent="0.2">
      <c r="A2" s="11" t="s">
        <v>26</v>
      </c>
      <c r="B2" s="11" t="s">
        <v>27</v>
      </c>
    </row>
    <row r="3" spans="1:4" x14ac:dyDescent="0.2">
      <c r="A3" s="12" t="s">
        <v>22</v>
      </c>
      <c r="B3" s="15">
        <f>AVERAGE('Raw Data'!C2:C101)</f>
        <v>62380.03</v>
      </c>
    </row>
    <row r="4" spans="1:4" x14ac:dyDescent="0.2">
      <c r="A4" s="13" t="s">
        <v>23</v>
      </c>
      <c r="B4" s="16">
        <f>MEDIAN('Raw Data'!C2:C101)</f>
        <v>46500</v>
      </c>
    </row>
    <row r="5" spans="1:4" x14ac:dyDescent="0.2">
      <c r="A5" s="12" t="s">
        <v>24</v>
      </c>
      <c r="B5" s="15">
        <f>_xlfn.QUARTILE.INC('Raw Data'!C2:C101,1)</f>
        <v>25000</v>
      </c>
    </row>
    <row r="6" spans="1:4" x14ac:dyDescent="0.2">
      <c r="A6" s="13" t="s">
        <v>25</v>
      </c>
      <c r="B6" s="16">
        <f>_xlfn.QUARTILE.INC('Raw Data'!C2:C101,3)</f>
        <v>83500</v>
      </c>
    </row>
    <row r="7" spans="1:4" x14ac:dyDescent="0.2">
      <c r="A7" s="2"/>
    </row>
    <row r="10" spans="1:4" x14ac:dyDescent="0.2">
      <c r="D10" s="2" t="s">
        <v>37</v>
      </c>
    </row>
    <row r="11" spans="1:4" x14ac:dyDescent="0.2">
      <c r="A11" s="9" t="s">
        <v>36</v>
      </c>
      <c r="B11" s="10" t="s">
        <v>35</v>
      </c>
    </row>
    <row r="12" spans="1:4" x14ac:dyDescent="0.2">
      <c r="A12" s="2" t="s">
        <v>26</v>
      </c>
      <c r="B12" s="2" t="s">
        <v>27</v>
      </c>
    </row>
    <row r="13" spans="1:4" x14ac:dyDescent="0.2">
      <c r="A13" s="2" t="s">
        <v>22</v>
      </c>
      <c r="B13">
        <f>AVERAGE('Raw Data'!B2:B101)</f>
        <v>37.630000000000003</v>
      </c>
    </row>
    <row r="14" spans="1:4" x14ac:dyDescent="0.2">
      <c r="A14" s="2" t="s">
        <v>30</v>
      </c>
      <c r="B14">
        <f>MAX('Raw Data'!B2:B101)-MIN('Raw Data'!B2:B101)</f>
        <v>90</v>
      </c>
    </row>
    <row r="15" spans="1:4" x14ac:dyDescent="0.2">
      <c r="A15" s="2" t="s">
        <v>24</v>
      </c>
      <c r="B15">
        <f>_xlfn.QUARTILE.INC(Table1[Weekly Hours Worked],1)</f>
        <v>40</v>
      </c>
    </row>
    <row r="16" spans="1:4" x14ac:dyDescent="0.2">
      <c r="A16" s="2" t="s">
        <v>25</v>
      </c>
      <c r="B16">
        <f>_xlfn.QUARTILE.INC(Table1[Weekly Hours Worked],3)</f>
        <v>40</v>
      </c>
    </row>
    <row r="17" spans="1:2" x14ac:dyDescent="0.2">
      <c r="A17" s="2" t="s">
        <v>31</v>
      </c>
      <c r="B17" s="2">
        <f>B16-B15</f>
        <v>0</v>
      </c>
    </row>
    <row r="18" spans="1:2" x14ac:dyDescent="0.2">
      <c r="A18" s="2" t="s">
        <v>32</v>
      </c>
      <c r="B18">
        <f>_xlfn.VAR.S(Table1[Weekly Hours Worked])</f>
        <v>220.23545454545453</v>
      </c>
    </row>
    <row r="19" spans="1:2" x14ac:dyDescent="0.2">
      <c r="A19" s="2" t="s">
        <v>33</v>
      </c>
      <c r="B19">
        <f>_xlfn.STDEV.S(Table1[Weekly Hours Worked])</f>
        <v>14.840332022749847</v>
      </c>
    </row>
    <row r="20" spans="1:2" x14ac:dyDescent="0.2">
      <c r="A20" s="2" t="s">
        <v>34</v>
      </c>
      <c r="B20">
        <f>B19/B13</f>
        <v>0.39437502053547291</v>
      </c>
    </row>
    <row r="22" spans="1:2" x14ac:dyDescent="0.2">
      <c r="A22" s="2" t="s">
        <v>39</v>
      </c>
    </row>
    <row r="23" spans="1:2" x14ac:dyDescent="0.2">
      <c r="A23" s="2"/>
    </row>
    <row r="24" spans="1:2" x14ac:dyDescent="0.2">
      <c r="A24" s="2" t="s">
        <v>26</v>
      </c>
      <c r="B24" s="2" t="s">
        <v>40</v>
      </c>
    </row>
    <row r="25" spans="1:2" x14ac:dyDescent="0.2">
      <c r="A25" s="2" t="s">
        <v>41</v>
      </c>
      <c r="B25">
        <f>_xlfn.COVARIANCE.S('Raw Data'!B2:B101,'Raw Data'!C2:C101)</f>
        <v>264165.22333333315</v>
      </c>
    </row>
    <row r="26" spans="1:2" x14ac:dyDescent="0.2">
      <c r="A26" s="2" t="s">
        <v>38</v>
      </c>
      <c r="B26">
        <f>CORREL('Raw Data'!B2:B101,'Raw Data'!C2:C101)</f>
        <v>0.31367195305941425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Q1_Employment_Percent</vt:lpstr>
      <vt:lpstr>Q1_Income_Distribution</vt:lpstr>
      <vt:lpstr>Q1_Crosstab_Counts</vt:lpstr>
      <vt:lpstr>Q1_Crosstab_columnPercent</vt:lpstr>
      <vt:lpstr>Q1_Crosstab_RowPercent</vt:lpstr>
      <vt:lpstr>Raw Data</vt:lpstr>
      <vt:lpstr>Q1_Employment_Frequency</vt:lpstr>
      <vt:lpstr>Q3_Numerical_Measures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Betelhem Tadesse</cp:lastModifiedBy>
  <dcterms:created xsi:type="dcterms:W3CDTF">2026-02-19T03:56:53Z</dcterms:created>
  <dcterms:modified xsi:type="dcterms:W3CDTF">2026-03-24T05:33:09Z</dcterms:modified>
</cp:coreProperties>
</file>